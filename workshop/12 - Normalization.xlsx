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<sst xmlns="http://schemas.openxmlformats.org/spreadsheetml/2006/main" count="221" uniqueCount="46">
  <si>
    <t>LayerNorm - (Normalizes across rows)</t>
  </si>
  <si>
    <t>Layer Stats</t>
  </si>
  <si>
    <t>Mean</t>
  </si>
  <si>
    <t>Variance</t>
  </si>
  <si>
    <t>Input</t>
  </si>
  <si>
    <t>Hardcoded values</t>
  </si>
  <si>
    <t>Epsilon</t>
  </si>
  <si>
    <t>Centered</t>
  </si>
  <si>
    <t>(by row)</t>
  </si>
  <si>
    <t>Scaling Learned Values</t>
  </si>
  <si>
    <t>Multiplier</t>
  </si>
  <si>
    <t>Addition</t>
  </si>
  <si>
    <t>LayerNorm</t>
  </si>
  <si>
    <t>BatchNorm - (Normalizes across columns)</t>
  </si>
  <si>
    <t>(by column)</t>
  </si>
  <si>
    <t>BatchNorm</t>
  </si>
  <si>
    <t>RMSNorm - (Normalizes across rows)</t>
  </si>
  <si>
    <t>Mean Sum of Squares</t>
  </si>
  <si>
    <t>SUMSQ(D83:H83)</t>
  </si>
  <si>
    <t>Divide by Mean^2</t>
  </si>
  <si>
    <t>(D83)/($I83+$H$90)</t>
  </si>
  <si>
    <t>RMSNorm</t>
  </si>
  <si>
    <t xml:space="preserve">All normalizations - short versions </t>
  </si>
  <si>
    <t xml:space="preserve">MLP: Growing &amp; Shrinking, ReLU, with Residuals </t>
  </si>
  <si>
    <t>⬇</t>
  </si>
  <si>
    <t>Input @ M1</t>
  </si>
  <si>
    <t>M1</t>
  </si>
  <si>
    <t>(Growing)</t>
  </si>
  <si>
    <t>⬅</t>
  </si>
  <si>
    <t>ReLU</t>
  </si>
  <si>
    <t>M2</t>
  </si>
  <si>
    <t>@ M2</t>
  </si>
  <si>
    <t>(Shrinking)</t>
  </si>
  <si>
    <t>Residual</t>
  </si>
  <si>
    <r>
      <rPr>
        <rFont val="Arial"/>
        <b/>
        <color rgb="FF000000"/>
      </rPr>
      <t>[Exercise]</t>
    </r>
    <r>
      <rPr>
        <rFont val="Arial"/>
        <color rgb="FF000000"/>
      </rPr>
      <t xml:space="preserve"> Note that gradients explode. Numbers are "more red" or "more gren" post residual. </t>
    </r>
  </si>
  <si>
    <t>MLP: Growing &amp; Shrinking w/ Residuals, condensed form</t>
  </si>
  <si>
    <t>Input +</t>
  </si>
  <si>
    <t>(Input @</t>
  </si>
  <si>
    <t>M1 @ M2)</t>
  </si>
  <si>
    <t>MLP: RMS, Post-norm</t>
  </si>
  <si>
    <t>RmsNorm</t>
  </si>
  <si>
    <t>ARRAYFORMULA(LET(x,C212:E214,rms,SQRT(MMULT(x^2,SEQUENCE(3,1,1/3,0))),x/rms))</t>
  </si>
  <si>
    <t>MLP: RMS, Pre-norm</t>
  </si>
  <si>
    <t>ARRAYFORMULA(LET(x,C207:E209,rms,SQRT(MMULT(x^2,SEQUENCE(3,1,1/3,0))),x/rms))</t>
  </si>
  <si>
    <t>RmsNorm +</t>
  </si>
  <si>
    <t>(RmsNorm @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</si>
</sst>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  <scheme val="minor"/>
    </font>
    <font>
      <color theme="0"/>
      <name val="Arial"/>
      <scheme val="minor"/>
    </font>
    <font>
      <b/>
      <sz val="12.0"/>
      <color theme="1"/>
      <name val="Arial"/>
    </font>
    <font/>
    <font>
      <color rgb="FFB7B7B7"/>
      <name val="Arial"/>
    </font>
    <font>
      <b/>
      <sz val="12.0"/>
      <color theme="1"/>
      <name val="Arial"/>
      <scheme val="minor"/>
    </font>
    <font>
      <color rgb="FFFFFFFF"/>
      <name val="Arial"/>
    </font>
    <font>
      <color rgb="FF000000"/>
      <name val="Arial"/>
      <scheme val="minor"/>
    </font>
    <font>
      <color rgb="FFCCCCCC"/>
      <name val="Arial"/>
      <scheme val="minor"/>
    </font>
  </fonts>
  <fills count="4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0E6D3"/>
        <bgColor rgb="FFC0E6D3"/>
      </patternFill>
    </fill>
    <fill>
      <patternFill patternType="solid">
        <fgColor rgb="FFEFF9F4"/>
        <bgColor rgb="FFEFF9F4"/>
      </patternFill>
    </fill>
    <fill>
      <patternFill patternType="solid">
        <fgColor rgb="FF81CCA7"/>
        <bgColor rgb="FF81CCA7"/>
      </patternFill>
    </fill>
    <fill>
      <patternFill patternType="solid">
        <fgColor rgb="FF69C397"/>
        <bgColor rgb="FF69C397"/>
      </patternFill>
    </fill>
    <fill>
      <patternFill patternType="solid">
        <fgColor rgb="FFD7EFE4"/>
        <bgColor rgb="FFD7EFE4"/>
      </patternFill>
    </fill>
    <fill>
      <patternFill patternType="solid">
        <fgColor rgb="FFCCEBDC"/>
        <bgColor rgb="FFCCEBDC"/>
      </patternFill>
    </fill>
    <fill>
      <patternFill patternType="solid">
        <fgColor rgb="FF75C89F"/>
        <bgColor rgb="FF75C89F"/>
      </patternFill>
    </fill>
    <fill>
      <patternFill patternType="solid">
        <fgColor rgb="FF59BC8B"/>
        <bgColor rgb="FF59BC8B"/>
      </patternFill>
    </fill>
    <fill>
      <patternFill patternType="solid">
        <fgColor rgb="FFA3DABF"/>
        <bgColor rgb="FFA3DABF"/>
      </patternFill>
    </fill>
    <fill>
      <patternFill patternType="solid">
        <fgColor rgb="FFD9F0E5"/>
        <bgColor rgb="FFD9F0E5"/>
      </patternFill>
    </fill>
    <fill>
      <patternFill patternType="solid">
        <fgColor rgb="FF59BC8C"/>
        <bgColor rgb="FF59BC8C"/>
      </patternFill>
    </fill>
    <fill>
      <patternFill patternType="solid">
        <fgColor rgb="FFB4E1CB"/>
        <bgColor rgb="FFB4E1CB"/>
      </patternFill>
    </fill>
    <fill>
      <patternFill patternType="solid">
        <fgColor rgb="FFFBFDFC"/>
        <bgColor rgb="FFFBFDFC"/>
      </patternFill>
    </fill>
    <fill>
      <patternFill patternType="solid">
        <fgColor rgb="FFB2E0C9"/>
        <bgColor rgb="FFB2E0C9"/>
      </patternFill>
    </fill>
    <fill>
      <patternFill patternType="solid">
        <fgColor rgb="FF57BB8A"/>
        <bgColor rgb="FF57BB8A"/>
      </patternFill>
    </fill>
    <fill>
      <patternFill patternType="solid">
        <fgColor rgb="FFFFFFFF"/>
        <bgColor rgb="FFFFFFFF"/>
      </patternFill>
    </fill>
    <fill>
      <patternFill patternType="solid">
        <fgColor rgb="FFF3FAF7"/>
        <bgColor rgb="FFF3FAF7"/>
      </patternFill>
    </fill>
    <fill>
      <patternFill patternType="solid">
        <fgColor rgb="FFDCF1E7"/>
        <bgColor rgb="FFDCF1E7"/>
      </patternFill>
    </fill>
    <fill>
      <patternFill patternType="solid">
        <fgColor rgb="FF6EC59A"/>
        <bgColor rgb="FF6EC59A"/>
      </patternFill>
    </fill>
    <fill>
      <patternFill patternType="solid">
        <fgColor rgb="FF63C092"/>
        <bgColor rgb="FF63C092"/>
      </patternFill>
    </fill>
    <fill>
      <patternFill patternType="solid">
        <fgColor rgb="FFEDF8F3"/>
        <bgColor rgb="FFEDF8F3"/>
      </patternFill>
    </fill>
    <fill>
      <patternFill patternType="solid">
        <fgColor rgb="FFDAF0E5"/>
        <bgColor rgb="FFDAF0E5"/>
      </patternFill>
    </fill>
    <fill>
      <patternFill patternType="solid">
        <fgColor rgb="FFE4F5ED"/>
        <bgColor rgb="FFE4F5ED"/>
      </patternFill>
    </fill>
    <fill>
      <patternFill patternType="solid">
        <fgColor rgb="FFBAE4CF"/>
        <bgColor rgb="FFBAE4CF"/>
      </patternFill>
    </fill>
    <fill>
      <patternFill patternType="solid">
        <fgColor rgb="FFD0ECDE"/>
        <bgColor rgb="FFD0ECDE"/>
      </patternFill>
    </fill>
    <fill>
      <patternFill patternType="solid">
        <fgColor rgb="FFADDEC6"/>
        <bgColor rgb="FFADDEC6"/>
      </patternFill>
    </fill>
    <fill>
      <patternFill patternType="solid">
        <fgColor rgb="FFF7FCFA"/>
        <bgColor rgb="FFF7FCFA"/>
      </patternFill>
    </fill>
    <fill>
      <patternFill patternType="solid">
        <fgColor rgb="FFB2E0CA"/>
        <bgColor rgb="FFB2E0CA"/>
      </patternFill>
    </fill>
    <fill>
      <patternFill patternType="solid">
        <fgColor rgb="FFCEECDD"/>
        <bgColor rgb="FFCEECDD"/>
      </patternFill>
    </fill>
    <fill>
      <patternFill patternType="solid">
        <fgColor rgb="FFF7FCF9"/>
        <bgColor rgb="FFF7FCF9"/>
      </patternFill>
    </fill>
    <fill>
      <patternFill patternType="solid">
        <fgColor rgb="FFDDF2E7"/>
        <bgColor rgb="FFDDF2E7"/>
      </patternFill>
    </fill>
    <fill>
      <patternFill patternType="solid">
        <fgColor rgb="FFA9DCC3"/>
        <bgColor rgb="FFA9DCC3"/>
      </patternFill>
    </fill>
    <fill>
      <patternFill patternType="solid">
        <fgColor rgb="FF99D6B8"/>
        <bgColor rgb="FF99D6B8"/>
      </patternFill>
    </fill>
    <fill>
      <patternFill patternType="solid">
        <fgColor rgb="FFA7DCC2"/>
        <bgColor rgb="FFA7DCC2"/>
      </patternFill>
    </fill>
    <fill>
      <patternFill patternType="solid">
        <fgColor rgb="FF5BBD8D"/>
        <bgColor rgb="FF5BBD8D"/>
      </patternFill>
    </fill>
    <fill>
      <patternFill patternType="solid">
        <fgColor rgb="FFFAFDFC"/>
        <bgColor rgb="FFFAFDFC"/>
      </patternFill>
    </fill>
    <fill>
      <patternFill patternType="solid">
        <fgColor rgb="FFB6E2CC"/>
        <bgColor rgb="FFB6E2CC"/>
      </patternFill>
    </fill>
    <fill>
      <patternFill patternType="solid">
        <fgColor rgb="FFAFDFC8"/>
        <bgColor rgb="FFAFDFC8"/>
      </patternFill>
    </fill>
    <fill>
      <patternFill patternType="solid">
        <fgColor rgb="FF93D4B4"/>
        <bgColor rgb="FF93D4B4"/>
      </patternFill>
    </fill>
    <fill>
      <patternFill patternType="solid">
        <fgColor rgb="FFFBFEFC"/>
        <bgColor rgb="FFFBFEFC"/>
      </patternFill>
    </fill>
    <fill>
      <patternFill patternType="solid">
        <fgColor rgb="FFCFECDE"/>
        <bgColor rgb="FFCFECDE"/>
      </patternFill>
    </fill>
    <fill>
      <patternFill patternType="solid">
        <fgColor rgb="FFB1E0C9"/>
        <bgColor rgb="FFB1E0C9"/>
      </patternFill>
    </fill>
    <fill>
      <patternFill patternType="solid">
        <fgColor rgb="FFCAEADA"/>
        <bgColor rgb="FFCAEADA"/>
      </patternFill>
    </fill>
    <fill>
      <patternFill patternType="solid">
        <fgColor rgb="FFA0D9BD"/>
        <bgColor rgb="FFA0D9BD"/>
      </patternFill>
    </fill>
    <fill>
      <patternFill patternType="solid">
        <fgColor rgb="FFEBF7F1"/>
        <bgColor rgb="FFEBF7F1"/>
      </patternFill>
    </fill>
    <fill>
      <patternFill patternType="solid">
        <fgColor rgb="FF67C296"/>
        <bgColor rgb="FF67C296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Border="1" applyFont="1"/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left" readingOrder="0"/>
    </xf>
    <xf borderId="0" fillId="0" fontId="8" numFmtId="0" xfId="0" applyAlignment="1" applyFont="1">
      <alignment horizontal="right" readingOrder="0" vertical="bottom"/>
    </xf>
    <xf borderId="3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0" fillId="0" fontId="9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11" xfId="0" applyAlignment="1" applyFont="1" applyNumberFormat="1">
      <alignment horizontal="left"/>
    </xf>
    <xf borderId="0" fillId="0" fontId="3" numFmtId="0" xfId="0" applyAlignment="1" applyFont="1">
      <alignment vertical="bottom"/>
    </xf>
    <xf borderId="0" fillId="0" fontId="10" numFmtId="164" xfId="0" applyAlignment="1" applyFont="1" applyNumberFormat="1">
      <alignment horizontal="center" vertical="bottom"/>
    </xf>
    <xf borderId="0" fillId="0" fontId="10" numFmtId="2" xfId="0" applyAlignment="1" applyFont="1" applyNumberFormat="1">
      <alignment horizontal="center" vertical="bottom"/>
    </xf>
    <xf borderId="3" fillId="0" fontId="3" numFmtId="2" xfId="0" applyAlignment="1" applyBorder="1" applyFont="1" applyNumberFormat="1">
      <alignment horizontal="center" vertical="bottom"/>
    </xf>
    <xf borderId="4" fillId="0" fontId="3" numFmtId="2" xfId="0" applyAlignment="1" applyBorder="1" applyFont="1" applyNumberFormat="1">
      <alignment horizontal="center" vertical="bottom"/>
    </xf>
    <xf borderId="5" fillId="0" fontId="3" numFmtId="2" xfId="0" applyAlignment="1" applyBorder="1" applyFont="1" applyNumberFormat="1">
      <alignment horizontal="center" vertical="bottom"/>
    </xf>
    <xf borderId="6" fillId="0" fontId="3" numFmtId="2" xfId="0" applyAlignment="1" applyBorder="1" applyFont="1" applyNumberFormat="1">
      <alignment horizontal="center" vertical="bottom"/>
    </xf>
    <xf borderId="0" fillId="0" fontId="3" numFmtId="2" xfId="0" applyAlignment="1" applyFont="1" applyNumberFormat="1">
      <alignment horizontal="center" vertical="bottom"/>
    </xf>
    <xf borderId="7" fillId="0" fontId="3" numFmtId="2" xfId="0" applyAlignment="1" applyBorder="1" applyFont="1" applyNumberFormat="1">
      <alignment horizontal="center" vertical="bottom"/>
    </xf>
    <xf borderId="2" fillId="0" fontId="3" numFmtId="2" xfId="0" applyAlignment="1" applyBorder="1" applyFont="1" applyNumberFormat="1">
      <alignment horizontal="center" vertical="bottom"/>
    </xf>
    <xf borderId="1" fillId="0" fontId="3" numFmtId="2" xfId="0" applyAlignment="1" applyBorder="1" applyFont="1" applyNumberFormat="1">
      <alignment horizontal="center" vertical="bottom"/>
    </xf>
    <xf borderId="8" fillId="0" fontId="3" numFmtId="2" xfId="0" applyAlignment="1" applyBorder="1" applyFont="1" applyNumberFormat="1">
      <alignment horizontal="center" vertical="bottom"/>
    </xf>
    <xf borderId="0" fillId="0" fontId="6" numFmtId="0" xfId="0" applyAlignment="1" applyFont="1">
      <alignment horizontal="center" shrinkToFit="0" vertical="bottom" wrapText="1"/>
    </xf>
    <xf borderId="9" fillId="0" fontId="2" numFmtId="0" xfId="0" applyAlignment="1" applyBorder="1" applyFont="1">
      <alignment horizontal="center" readingOrder="0"/>
    </xf>
    <xf borderId="3" fillId="0" fontId="2" numFmtId="2" xfId="0" applyAlignment="1" applyBorder="1" applyFont="1" applyNumberFormat="1">
      <alignment horizontal="center"/>
    </xf>
    <xf borderId="4" fillId="0" fontId="2" numFmtId="2" xfId="0" applyAlignment="1" applyBorder="1" applyFont="1" applyNumberFormat="1">
      <alignment horizontal="center"/>
    </xf>
    <xf borderId="5" fillId="0" fontId="2" numFmtId="2" xfId="0" applyAlignment="1" applyBorder="1" applyFont="1" applyNumberFormat="1">
      <alignment horizontal="center"/>
    </xf>
    <xf borderId="6" fillId="0" fontId="2" numFmtId="2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/>
    </xf>
    <xf borderId="7" fillId="0" fontId="2" numFmtId="2" xfId="0" applyAlignment="1" applyBorder="1" applyFont="1" applyNumberFormat="1">
      <alignment horizontal="center"/>
    </xf>
    <xf borderId="2" fillId="0" fontId="2" numFmtId="2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horizontal="center"/>
    </xf>
    <xf borderId="8" fillId="0" fontId="2" numFmtId="2" xfId="0" applyAlignment="1" applyBorder="1" applyFont="1" applyNumberFormat="1">
      <alignment horizontal="center"/>
    </xf>
    <xf borderId="3" fillId="3" fontId="3" numFmtId="164" xfId="0" applyAlignment="1" applyBorder="1" applyFill="1" applyFont="1" applyNumberFormat="1">
      <alignment horizontal="center" vertical="bottom"/>
    </xf>
    <xf borderId="4" fillId="4" fontId="3" numFmtId="164" xfId="0" applyAlignment="1" applyBorder="1" applyFill="1" applyFont="1" applyNumberFormat="1">
      <alignment horizontal="center" vertical="bottom"/>
    </xf>
    <xf borderId="4" fillId="5" fontId="3" numFmtId="164" xfId="0" applyAlignment="1" applyBorder="1" applyFill="1" applyFont="1" applyNumberFormat="1">
      <alignment horizontal="center" vertical="bottom"/>
    </xf>
    <xf borderId="4" fillId="6" fontId="3" numFmtId="164" xfId="0" applyAlignment="1" applyBorder="1" applyFill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6" fillId="8" fontId="3" numFmtId="164" xfId="0" applyAlignment="1" applyBorder="1" applyFill="1" applyFont="1" applyNumberFormat="1">
      <alignment horizontal="center" vertical="bottom"/>
    </xf>
    <xf borderId="0" fillId="9" fontId="3" numFmtId="164" xfId="0" applyAlignment="1" applyFill="1" applyFont="1" applyNumberFormat="1">
      <alignment horizontal="center" vertical="bottom"/>
    </xf>
    <xf borderId="0" fillId="10" fontId="3" numFmtId="164" xfId="0" applyAlignment="1" applyFill="1" applyFont="1" applyNumberFormat="1">
      <alignment horizontal="center" vertical="bottom"/>
    </xf>
    <xf borderId="0" fillId="11" fontId="3" numFmtId="164" xfId="0" applyAlignment="1" applyFill="1" applyFont="1" applyNumberFormat="1">
      <alignment horizontal="center" vertical="bottom"/>
    </xf>
    <xf borderId="7" fillId="12" fontId="3" numFmtId="164" xfId="0" applyAlignment="1" applyBorder="1" applyFill="1" applyFont="1" applyNumberFormat="1">
      <alignment horizontal="center" vertical="bottom"/>
    </xf>
    <xf borderId="6" fillId="13" fontId="3" numFmtId="164" xfId="0" applyAlignment="1" applyBorder="1" applyFill="1" applyFont="1" applyNumberFormat="1">
      <alignment horizontal="center" vertical="bottom"/>
    </xf>
    <xf borderId="0" fillId="14" fontId="3" numFmtId="164" xfId="0" applyAlignment="1" applyFill="1" applyFont="1" applyNumberFormat="1">
      <alignment horizontal="center" vertical="bottom"/>
    </xf>
    <xf borderId="0" fillId="15" fontId="3" numFmtId="164" xfId="0" applyAlignment="1" applyFill="1" applyFont="1" applyNumberFormat="1">
      <alignment horizontal="center" vertical="bottom"/>
    </xf>
    <xf borderId="0" fillId="16" fontId="3" numFmtId="164" xfId="0" applyAlignment="1" applyFill="1" applyFont="1" applyNumberFormat="1">
      <alignment horizontal="center" vertical="bottom"/>
    </xf>
    <xf borderId="7" fillId="17" fontId="3" numFmtId="164" xfId="0" applyAlignment="1" applyBorder="1" applyFill="1" applyFont="1" applyNumberFormat="1">
      <alignment horizontal="center" vertical="bottom"/>
    </xf>
    <xf borderId="6" fillId="18" fontId="3" numFmtId="164" xfId="0" applyAlignment="1" applyBorder="1" applyFill="1" applyFont="1" applyNumberFormat="1">
      <alignment horizontal="center" vertical="bottom"/>
    </xf>
    <xf borderId="0" fillId="19" fontId="3" numFmtId="164" xfId="0" applyAlignment="1" applyFill="1" applyFont="1" applyNumberFormat="1">
      <alignment horizontal="center" vertical="bottom"/>
    </xf>
    <xf borderId="0" fillId="20" fontId="3" numFmtId="164" xfId="0" applyAlignment="1" applyFill="1" applyFont="1" applyNumberFormat="1">
      <alignment horizontal="center" vertical="bottom"/>
    </xf>
    <xf borderId="0" fillId="21" fontId="3" numFmtId="164" xfId="0" applyAlignment="1" applyFill="1" applyFont="1" applyNumberFormat="1">
      <alignment horizontal="center" vertical="bottom"/>
    </xf>
    <xf borderId="7" fillId="22" fontId="3" numFmtId="164" xfId="0" applyAlignment="1" applyBorder="1" applyFill="1" applyFont="1" applyNumberFormat="1">
      <alignment horizontal="center" vertical="bottom"/>
    </xf>
    <xf borderId="2" fillId="23" fontId="3" numFmtId="164" xfId="0" applyAlignment="1" applyBorder="1" applyFill="1" applyFont="1" applyNumberFormat="1">
      <alignment horizontal="center" vertical="bottom"/>
    </xf>
    <xf borderId="1" fillId="24" fontId="3" numFmtId="164" xfId="0" applyAlignment="1" applyBorder="1" applyFill="1" applyFont="1" applyNumberFormat="1">
      <alignment horizontal="center" vertical="bottom"/>
    </xf>
    <xf borderId="1" fillId="25" fontId="3" numFmtId="164" xfId="0" applyAlignment="1" applyBorder="1" applyFill="1" applyFont="1" applyNumberFormat="1">
      <alignment horizontal="center" vertical="bottom"/>
    </xf>
    <xf borderId="1" fillId="26" fontId="3" numFmtId="164" xfId="0" applyAlignment="1" applyBorder="1" applyFill="1" applyFont="1" applyNumberFormat="1">
      <alignment horizontal="center" vertical="bottom"/>
    </xf>
    <xf borderId="8" fillId="27" fontId="3" numFmtId="164" xfId="0" applyAlignment="1" applyBorder="1" applyFill="1" applyFont="1" applyNumberFormat="1">
      <alignment horizontal="center" vertical="bottom"/>
    </xf>
    <xf borderId="1" fillId="0" fontId="3" numFmtId="0" xfId="0" applyAlignment="1" applyBorder="1" applyFont="1">
      <alignment horizontal="right" vertical="bottom"/>
    </xf>
    <xf borderId="6" fillId="0" fontId="6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right" vertical="bottom"/>
    </xf>
    <xf borderId="6" fillId="0" fontId="7" numFmtId="0" xfId="0" applyBorder="1" applyFont="1"/>
    <xf borderId="0" fillId="0" fontId="6" numFmtId="0" xfId="0" applyAlignment="1" applyFont="1">
      <alignment horizontal="center" vertical="bottom"/>
    </xf>
    <xf borderId="0" fillId="0" fontId="8" numFmtId="0" xfId="0" applyAlignment="1" applyFont="1">
      <alignment horizontal="right" vertical="bottom"/>
    </xf>
    <xf borderId="0" fillId="0" fontId="3" numFmtId="11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2" xfId="0" applyAlignment="1" applyFont="1" applyNumberFormat="1">
      <alignment vertical="bottom"/>
    </xf>
    <xf borderId="3" fillId="18" fontId="3" numFmtId="2" xfId="0" applyAlignment="1" applyBorder="1" applyFont="1" applyNumberFormat="1">
      <alignment horizontal="center" vertical="bottom"/>
    </xf>
    <xf borderId="4" fillId="18" fontId="3" numFmtId="2" xfId="0" applyAlignment="1" applyBorder="1" applyFont="1" applyNumberFormat="1">
      <alignment horizontal="center" vertical="bottom"/>
    </xf>
    <xf borderId="5" fillId="18" fontId="3" numFmtId="2" xfId="0" applyAlignment="1" applyBorder="1" applyFont="1" applyNumberFormat="1">
      <alignment horizontal="center" vertical="bottom"/>
    </xf>
    <xf borderId="6" fillId="18" fontId="3" numFmtId="2" xfId="0" applyAlignment="1" applyBorder="1" applyFont="1" applyNumberFormat="1">
      <alignment horizontal="center" vertical="bottom"/>
    </xf>
    <xf borderId="0" fillId="18" fontId="3" numFmtId="2" xfId="0" applyAlignment="1" applyFont="1" applyNumberFormat="1">
      <alignment horizontal="center" vertical="bottom"/>
    </xf>
    <xf borderId="7" fillId="18" fontId="3" numFmtId="2" xfId="0" applyAlignment="1" applyBorder="1" applyFont="1" applyNumberFormat="1">
      <alignment horizontal="center" vertical="bottom"/>
    </xf>
    <xf borderId="2" fillId="18" fontId="3" numFmtId="2" xfId="0" applyAlignment="1" applyBorder="1" applyFont="1" applyNumberFormat="1">
      <alignment horizontal="center" vertical="bottom"/>
    </xf>
    <xf borderId="1" fillId="18" fontId="3" numFmtId="2" xfId="0" applyAlignment="1" applyBorder="1" applyFont="1" applyNumberFormat="1">
      <alignment horizontal="center" vertical="bottom"/>
    </xf>
    <xf borderId="8" fillId="18" fontId="3" numFmtId="2" xfId="0" applyAlignment="1" applyBorder="1" applyFont="1" applyNumberFormat="1">
      <alignment horizontal="center" vertical="bottom"/>
    </xf>
    <xf borderId="0" fillId="0" fontId="6" numFmtId="0" xfId="0" applyAlignment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1" fillId="0" fontId="6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3" fillId="28" fontId="3" numFmtId="164" xfId="0" applyAlignment="1" applyBorder="1" applyFill="1" applyFont="1" applyNumberFormat="1">
      <alignment horizontal="center" vertical="bottom"/>
    </xf>
    <xf borderId="4" fillId="29" fontId="3" numFmtId="164" xfId="0" applyAlignment="1" applyBorder="1" applyFill="1" applyFont="1" applyNumberFormat="1">
      <alignment horizontal="center" vertical="bottom"/>
    </xf>
    <xf borderId="4" fillId="30" fontId="3" numFmtId="164" xfId="0" applyAlignment="1" applyBorder="1" applyFill="1" applyFont="1" applyNumberFormat="1">
      <alignment horizontal="center" vertical="bottom"/>
    </xf>
    <xf borderId="4" fillId="31" fontId="3" numFmtId="164" xfId="0" applyAlignment="1" applyBorder="1" applyFill="1" applyFont="1" applyNumberFormat="1">
      <alignment horizontal="center" vertical="bottom"/>
    </xf>
    <xf borderId="5" fillId="32" fontId="3" numFmtId="164" xfId="0" applyAlignment="1" applyBorder="1" applyFill="1" applyFont="1" applyNumberFormat="1">
      <alignment horizontal="center" vertical="bottom"/>
    </xf>
    <xf borderId="0" fillId="0" fontId="2" numFmtId="164" xfId="0" applyAlignment="1" applyFont="1" applyNumberFormat="1">
      <alignment horizontal="left" readingOrder="0"/>
    </xf>
    <xf borderId="6" fillId="33" fontId="3" numFmtId="164" xfId="0" applyAlignment="1" applyBorder="1" applyFill="1" applyFont="1" applyNumberFormat="1">
      <alignment horizontal="center" vertical="bottom"/>
    </xf>
    <xf borderId="0" fillId="34" fontId="3" numFmtId="164" xfId="0" applyAlignment="1" applyFill="1" applyFont="1" applyNumberFormat="1">
      <alignment horizontal="center" vertical="bottom"/>
    </xf>
    <xf borderId="0" fillId="35" fontId="3" numFmtId="164" xfId="0" applyAlignment="1" applyFill="1" applyFont="1" applyNumberFormat="1">
      <alignment horizontal="center" vertical="bottom"/>
    </xf>
    <xf borderId="0" fillId="36" fontId="3" numFmtId="164" xfId="0" applyAlignment="1" applyFill="1" applyFont="1" applyNumberFormat="1">
      <alignment horizontal="center" vertical="bottom"/>
    </xf>
    <xf borderId="7" fillId="37" fontId="3" numFmtId="164" xfId="0" applyAlignment="1" applyBorder="1" applyFill="1" applyFont="1" applyNumberFormat="1">
      <alignment horizontal="center" vertical="bottom"/>
    </xf>
    <xf borderId="6" fillId="38" fontId="3" numFmtId="164" xfId="0" applyAlignment="1" applyBorder="1" applyFill="1" applyFont="1" applyNumberFormat="1">
      <alignment horizontal="center" vertical="bottom"/>
    </xf>
    <xf borderId="0" fillId="39" fontId="3" numFmtId="164" xfId="0" applyAlignment="1" applyFill="1" applyFont="1" applyNumberFormat="1">
      <alignment horizontal="center" vertical="bottom"/>
    </xf>
    <xf borderId="0" fillId="28" fontId="3" numFmtId="164" xfId="0" applyAlignment="1" applyFont="1" applyNumberFormat="1">
      <alignment horizontal="center" vertical="bottom"/>
    </xf>
    <xf borderId="0" fillId="40" fontId="3" numFmtId="164" xfId="0" applyAlignment="1" applyFill="1" applyFont="1" applyNumberFormat="1">
      <alignment horizontal="center" vertical="bottom"/>
    </xf>
    <xf borderId="7" fillId="35" fontId="3" numFmtId="164" xfId="0" applyAlignment="1" applyBorder="1" applyFont="1" applyNumberFormat="1">
      <alignment horizontal="center" vertical="bottom"/>
    </xf>
    <xf borderId="6" fillId="41" fontId="3" numFmtId="164" xfId="0" applyAlignment="1" applyBorder="1" applyFill="1" applyFont="1" applyNumberFormat="1">
      <alignment horizontal="center" vertical="bottom"/>
    </xf>
    <xf borderId="0" fillId="42" fontId="3" numFmtId="164" xfId="0" applyAlignment="1" applyFill="1" applyFont="1" applyNumberFormat="1">
      <alignment horizontal="center" vertical="bottom"/>
    </xf>
    <xf borderId="0" fillId="43" fontId="3" numFmtId="164" xfId="0" applyAlignment="1" applyFill="1" applyFont="1" applyNumberFormat="1">
      <alignment horizontal="center" vertical="bottom"/>
    </xf>
    <xf borderId="0" fillId="13" fontId="3" numFmtId="164" xfId="0" applyAlignment="1" applyFont="1" applyNumberFormat="1">
      <alignment horizontal="center" vertical="bottom"/>
    </xf>
    <xf borderId="7" fillId="44" fontId="3" numFmtId="164" xfId="0" applyAlignment="1" applyBorder="1" applyFill="1" applyFont="1" applyNumberFormat="1">
      <alignment horizontal="center" vertical="bottom"/>
    </xf>
    <xf borderId="2" fillId="45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ont="1" applyNumberFormat="1">
      <alignment horizontal="center" vertical="bottom"/>
    </xf>
    <xf borderId="1" fillId="46" fontId="3" numFmtId="164" xfId="0" applyAlignment="1" applyBorder="1" applyFill="1" applyFont="1" applyNumberFormat="1">
      <alignment horizontal="center" vertical="bottom"/>
    </xf>
    <xf borderId="1" fillId="47" fontId="3" numFmtId="164" xfId="0" applyAlignment="1" applyBorder="1" applyFill="1" applyFont="1" applyNumberFormat="1">
      <alignment horizontal="center" vertical="bottom"/>
    </xf>
    <xf borderId="8" fillId="48" fontId="3" numFmtId="164" xfId="0" applyAlignment="1" applyBorder="1" applyFill="1" applyFont="1" applyNumberFormat="1">
      <alignment horizontal="center" vertical="bottom"/>
    </xf>
    <xf borderId="3" fillId="0" fontId="3" numFmtId="2" xfId="0" applyAlignment="1" applyBorder="1" applyFont="1" applyNumberFormat="1">
      <alignment horizontal="left" readingOrder="0" vertical="bottom"/>
    </xf>
    <xf borderId="0" fillId="0" fontId="8" numFmtId="0" xfId="0" applyAlignment="1" applyFont="1">
      <alignment horizontal="left" readingOrder="0" vertical="bottom"/>
    </xf>
    <xf borderId="3" fillId="0" fontId="11" numFmtId="164" xfId="0" applyAlignment="1" applyBorder="1" applyFont="1" applyNumberFormat="1">
      <alignment horizontal="center"/>
    </xf>
    <xf borderId="4" fillId="0" fontId="11" numFmtId="164" xfId="0" applyAlignment="1" applyBorder="1" applyFont="1" applyNumberFormat="1">
      <alignment horizontal="center"/>
    </xf>
    <xf borderId="5" fillId="0" fontId="11" numFmtId="164" xfId="0" applyAlignment="1" applyBorder="1" applyFont="1" applyNumberFormat="1">
      <alignment horizontal="center"/>
    </xf>
    <xf borderId="6" fillId="0" fontId="11" numFmtId="164" xfId="0" applyAlignment="1" applyBorder="1" applyFont="1" applyNumberFormat="1">
      <alignment horizontal="center"/>
    </xf>
    <xf borderId="0" fillId="0" fontId="11" numFmtId="164" xfId="0" applyAlignment="1" applyFont="1" applyNumberFormat="1">
      <alignment horizontal="center"/>
    </xf>
    <xf borderId="7" fillId="0" fontId="11" numFmtId="164" xfId="0" applyAlignment="1" applyBorder="1" applyFont="1" applyNumberFormat="1">
      <alignment horizontal="center"/>
    </xf>
    <xf borderId="2" fillId="0" fontId="11" numFmtId="164" xfId="0" applyAlignment="1" applyBorder="1" applyFont="1" applyNumberFormat="1">
      <alignment horizontal="center"/>
    </xf>
    <xf borderId="1" fillId="0" fontId="11" numFmtId="164" xfId="0" applyAlignment="1" applyBorder="1" applyFont="1" applyNumberFormat="1">
      <alignment horizontal="center"/>
    </xf>
    <xf borderId="8" fillId="0" fontId="11" numFmtId="164" xfId="0" applyAlignment="1" applyBorder="1" applyFont="1" applyNumberFormat="1">
      <alignment horizontal="center"/>
    </xf>
    <xf borderId="0" fillId="2" fontId="2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2" numFmtId="0" xfId="0" applyAlignment="1" applyFont="1">
      <alignment horizontal="right" readingOrder="0"/>
    </xf>
    <xf borderId="0" fillId="0" fontId="3" numFmtId="0" xfId="0" applyAlignment="1" applyFont="1">
      <alignment horizontal="center" vertical="bottom"/>
    </xf>
    <xf borderId="3" fillId="0" fontId="2" numFmtId="164" xfId="0" applyAlignment="1" applyBorder="1" applyFont="1" applyNumberFormat="1">
      <alignment horizontal="left" readingOrder="0"/>
    </xf>
    <xf borderId="6" fillId="0" fontId="2" numFmtId="0" xfId="0" applyAlignment="1" applyBorder="1" applyFont="1">
      <alignment horizontal="left" readingOrder="0"/>
    </xf>
    <xf borderId="0" fillId="0" fontId="8" numFmtId="164" xfId="0" applyAlignment="1" applyFont="1" applyNumberFormat="1">
      <alignment horizontal="right" readingOrder="0" vertical="bottom"/>
    </xf>
    <xf borderId="3" fillId="0" fontId="3" numFmtId="164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5" fillId="0" fontId="3" numFmtId="164" xfId="0" applyAlignment="1" applyBorder="1" applyFont="1" applyNumberFormat="1">
      <alignment horizontal="center" vertical="bottom"/>
    </xf>
    <xf borderId="6" fillId="0" fontId="3" numFmtId="164" xfId="0" applyAlignment="1" applyBorder="1" applyFont="1" applyNumberFormat="1">
      <alignment horizontal="center" vertical="bottom"/>
    </xf>
    <xf borderId="7" fillId="0" fontId="3" numFmtId="164" xfId="0" applyAlignment="1" applyBorder="1" applyFont="1" applyNumberForma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8" fillId="0" fontId="3" numFmtId="164" xfId="0" applyAlignment="1" applyBorder="1" applyFont="1" applyNumberFormat="1">
      <alignment horizontal="center" vertical="bottom"/>
    </xf>
    <xf borderId="0" fillId="0" fontId="2" numFmtId="164" xfId="0" applyFont="1" applyNumberFormat="1"/>
    <xf borderId="0" fillId="0" fontId="1" numFmtId="164" xfId="0" applyAlignment="1" applyFont="1" applyNumberFormat="1">
      <alignment horizontal="right"/>
    </xf>
    <xf borderId="0" fillId="0" fontId="6" numFmtId="164" xfId="0" applyAlignment="1" applyFont="1" applyNumberFormat="1">
      <alignment horizontal="center" shrinkToFit="0" vertical="bottom" wrapText="1"/>
    </xf>
    <xf borderId="0" fillId="0" fontId="1" numFmtId="164" xfId="0" applyAlignment="1" applyFont="1" applyNumberFormat="1">
      <alignment horizontal="right" readingOrder="0"/>
    </xf>
    <xf borderId="9" fillId="0" fontId="2" numFmtId="164" xfId="0" applyAlignment="1" applyBorder="1" applyFont="1" applyNumberFormat="1">
      <alignment horizontal="center" readingOrder="0"/>
    </xf>
    <xf borderId="3" fillId="0" fontId="11" numFmtId="164" xfId="0" applyAlignment="1" applyBorder="1" applyFont="1" applyNumberFormat="1">
      <alignment horizontal="right"/>
    </xf>
    <xf borderId="3" fillId="0" fontId="2" numFmtId="164" xfId="0" applyBorder="1" applyFont="1" applyNumberFormat="1"/>
    <xf borderId="4" fillId="0" fontId="2" numFmtId="164" xfId="0" applyBorder="1" applyFont="1" applyNumberFormat="1"/>
    <xf borderId="5" fillId="0" fontId="2" numFmtId="164" xfId="0" applyBorder="1" applyFont="1" applyNumberFormat="1"/>
    <xf borderId="6" fillId="0" fontId="11" numFmtId="164" xfId="0" applyAlignment="1" applyBorder="1" applyFont="1" applyNumberFormat="1">
      <alignment horizontal="right"/>
    </xf>
    <xf borderId="6" fillId="0" fontId="2" numFmtId="164" xfId="0" applyBorder="1" applyFont="1" applyNumberFormat="1"/>
    <xf borderId="7" fillId="0" fontId="2" numFmtId="164" xfId="0" applyBorder="1" applyFont="1" applyNumberFormat="1"/>
    <xf borderId="2" fillId="0" fontId="11" numFmtId="164" xfId="0" applyAlignment="1" applyBorder="1" applyFont="1" applyNumberFormat="1">
      <alignment horizontal="right"/>
    </xf>
    <xf borderId="2" fillId="0" fontId="2" numFmtId="164" xfId="0" applyBorder="1" applyFont="1" applyNumberFormat="1"/>
    <xf borderId="1" fillId="0" fontId="2" numFmtId="164" xfId="0" applyBorder="1" applyFont="1" applyNumberFormat="1"/>
    <xf borderId="8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'wo Answers'!$D$9:$D$10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'wo Answers'!$C$11:$C$15</c:f>
            </c:numRef>
          </c:xVal>
          <c:yVal>
            <c:numRef>
              <c:f>'wo Answers'!$D$11:$D$15</c:f>
              <c:numCache/>
            </c:numRef>
          </c:yVal>
        </c:ser>
        <c:ser>
          <c:idx val="1"/>
          <c:order val="1"/>
          <c:tx>
            <c:strRef>
              <c:f>'wo Answers'!$E$9:$E$10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'wo Answers'!$C$11:$C$15</c:f>
            </c:numRef>
          </c:xVal>
          <c:yVal>
            <c:numRef>
              <c:f>'wo Answers'!$E$11:$E$15</c:f>
              <c:numCache/>
            </c:numRef>
          </c:yVal>
        </c:ser>
        <c:ser>
          <c:idx val="2"/>
          <c:order val="2"/>
          <c:tx>
            <c:strRef>
              <c:f>'wo Answers'!$F$9:$F$10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'wo Answers'!$C$11:$C$15</c:f>
            </c:numRef>
          </c:xVal>
          <c:yVal>
            <c:numRef>
              <c:f>'wo Answers'!$F$11:$F$15</c:f>
              <c:numCache/>
            </c:numRef>
          </c:yVal>
        </c:ser>
        <c:ser>
          <c:idx val="3"/>
          <c:order val="3"/>
          <c:tx>
            <c:strRef>
              <c:f>'wo Answers'!$G$9:$G$10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'wo Answers'!$C$11:$C$15</c:f>
            </c:numRef>
          </c:xVal>
          <c:yVal>
            <c:numRef>
              <c:f>'wo Answers'!$G$11:$G$15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4795897"/>
        <c:axId val="1784749589"/>
      </c:scatterChart>
      <c:valAx>
        <c:axId val="6147958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4749589"/>
      </c:valAx>
      <c:valAx>
        <c:axId val="1784749589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479589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94503618"/>
        <c:axId val="1143593644"/>
      </c:scatterChart>
      <c:valAx>
        <c:axId val="4945036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3593644"/>
      </c:valAx>
      <c:valAx>
        <c:axId val="114359364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9450361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'wo Answers'!$C$46:$C$50</c:f>
            </c:numRef>
          </c:xVal>
          <c:yVal>
            <c:numRef>
              <c:f>'wo Answers'!$D$46:$D$50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'wo Answers'!$C$46:$C$50</c:f>
            </c:numRef>
          </c:xVal>
          <c:yVal>
            <c:numRef>
              <c:f>'wo Answers'!$E$46:$E$50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'wo Answers'!$C$46:$C$50</c:f>
            </c:numRef>
          </c:xVal>
          <c:yVal>
            <c:numRef>
              <c:f>'wo Answers'!$F$46:$F$50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'wo Answers'!$C$46:$C$50</c:f>
            </c:numRef>
          </c:xVal>
          <c:yVal>
            <c:numRef>
              <c:f>'wo Answers'!$G$46:$G$50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70494"/>
        <c:axId val="939677950"/>
      </c:scatterChart>
      <c:valAx>
        <c:axId val="2128704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677950"/>
      </c:valAx>
      <c:valAx>
        <c:axId val="939677950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870494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'wo Answers'!$C$67:$C$71</c:f>
            </c:numRef>
          </c:xVal>
          <c:yVal>
            <c:numRef>
              <c:f>'wo Answers'!$D$67:$D$71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'wo Answers'!$C$67:$C$71</c:f>
            </c:numRef>
          </c:xVal>
          <c:yVal>
            <c:numRef>
              <c:f>'wo Answers'!$E$67:$E$71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'wo Answers'!$C$67:$C$71</c:f>
            </c:numRef>
          </c:xVal>
          <c:yVal>
            <c:numRef>
              <c:f>'wo Answers'!$F$67:$F$71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'wo Answers'!$C$67:$C$71</c:f>
            </c:numRef>
          </c:xVal>
          <c:yVal>
            <c:numRef>
              <c:f>'wo Answers'!$G$67:$G$71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09668"/>
        <c:axId val="1626444955"/>
      </c:scatterChart>
      <c:valAx>
        <c:axId val="3213096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6444955"/>
      </c:valAx>
      <c:valAx>
        <c:axId val="1626444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1309668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'w Answers'!$D$9:$D$10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 Answers'!$C$11:$C$15</c:f>
            </c:numRef>
          </c:xVal>
          <c:yVal>
            <c:numRef>
              <c:f>'w Answers'!$D$11:$D$15</c:f>
              <c:numCache/>
            </c:numRef>
          </c:yVal>
        </c:ser>
        <c:ser>
          <c:idx val="1"/>
          <c:order val="1"/>
          <c:tx>
            <c:strRef>
              <c:f>'w Answers'!$E$9:$E$10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'w Answers'!$C$11:$C$15</c:f>
            </c:numRef>
          </c:xVal>
          <c:yVal>
            <c:numRef>
              <c:f>'w Answers'!$E$11:$E$15</c:f>
              <c:numCache/>
            </c:numRef>
          </c:yVal>
        </c:ser>
        <c:ser>
          <c:idx val="2"/>
          <c:order val="2"/>
          <c:tx>
            <c:strRef>
              <c:f>'w Answers'!$F$9:$F$10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'w Answers'!$C$11:$C$15</c:f>
            </c:numRef>
          </c:xVal>
          <c:yVal>
            <c:numRef>
              <c:f>'w Answers'!$F$11:$F$15</c:f>
              <c:numCache/>
            </c:numRef>
          </c:yVal>
        </c:ser>
        <c:ser>
          <c:idx val="3"/>
          <c:order val="3"/>
          <c:tx>
            <c:strRef>
              <c:f>'w Answers'!$G$9:$G$10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'w Answers'!$C$11:$C$15</c:f>
            </c:numRef>
          </c:xVal>
          <c:yVal>
            <c:numRef>
              <c:f>'w Answers'!$G$11:$G$15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187260"/>
        <c:axId val="1170104831"/>
      </c:scatterChart>
      <c:valAx>
        <c:axId val="12331872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0104831"/>
      </c:valAx>
      <c:valAx>
        <c:axId val="117010483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3187260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 Answers'!$C$30:$C$34</c:f>
            </c:numRef>
          </c:xVal>
          <c:yVal>
            <c:numRef>
              <c:f>'w Answers'!$D$30:$D$34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'w Answers'!$C$30:$C$34</c:f>
            </c:numRef>
          </c:xVal>
          <c:yVal>
            <c:numRef>
              <c:f>'w Answers'!$E$30:$E$34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'w Answers'!$C$30:$C$34</c:f>
            </c:numRef>
          </c:xVal>
          <c:yVal>
            <c:numRef>
              <c:f>'w Answers'!$F$30:$F$34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'w Answers'!$C$30:$C$34</c:f>
            </c:numRef>
          </c:xVal>
          <c:yVal>
            <c:numRef>
              <c:f>'w Answers'!$G$30:$G$34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866186"/>
        <c:axId val="2009668637"/>
      </c:scatterChart>
      <c:valAx>
        <c:axId val="11698661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9668637"/>
      </c:valAx>
      <c:valAx>
        <c:axId val="2009668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866186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 Answers'!$C$46:$C$50</c:f>
            </c:numRef>
          </c:xVal>
          <c:yVal>
            <c:numRef>
              <c:f>'w Answers'!$D$46:$D$50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'w Answers'!$C$46:$C$50</c:f>
            </c:numRef>
          </c:xVal>
          <c:yVal>
            <c:numRef>
              <c:f>'w Answers'!$E$46:$E$50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'w Answers'!$C$46:$C$50</c:f>
            </c:numRef>
          </c:xVal>
          <c:yVal>
            <c:numRef>
              <c:f>'w Answers'!$F$46:$F$50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'w Answers'!$C$46:$C$50</c:f>
            </c:numRef>
          </c:xVal>
          <c:yVal>
            <c:numRef>
              <c:f>'w Answers'!$G$46:$G$50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976098"/>
        <c:axId val="1665803491"/>
      </c:scatterChart>
      <c:valAx>
        <c:axId val="5079760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5803491"/>
      </c:valAx>
      <c:valAx>
        <c:axId val="166580349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7976098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 Answers'!$C$67:$C$71</c:f>
            </c:numRef>
          </c:xVal>
          <c:yVal>
            <c:numRef>
              <c:f>'w Answers'!$D$67:$D$71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'w Answers'!$C$67:$C$71</c:f>
            </c:numRef>
          </c:xVal>
          <c:yVal>
            <c:numRef>
              <c:f>'w Answers'!$E$67:$E$71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'w Answers'!$C$67:$C$71</c:f>
            </c:numRef>
          </c:xVal>
          <c:yVal>
            <c:numRef>
              <c:f>'w Answers'!$F$67:$F$71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'w Answers'!$C$67:$C$71</c:f>
            </c:numRef>
          </c:xVal>
          <c:yVal>
            <c:numRef>
              <c:f>'w Answers'!$G$67:$G$71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426840"/>
        <c:axId val="396238493"/>
      </c:scatterChart>
      <c:valAx>
        <c:axId val="8454268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238493"/>
      </c:valAx>
      <c:valAx>
        <c:axId val="3962384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42684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142875</xdr:colOff>
      <xdr:row>9</xdr:row>
      <xdr:rowOff>57150</xdr:rowOff>
    </xdr:from>
    <xdr:ext cx="1981200" cy="1238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85725</xdr:colOff>
      <xdr:row>27</xdr:row>
      <xdr:rowOff>123825</xdr:rowOff>
    </xdr:from>
    <xdr:ext cx="2105025" cy="1304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19050</xdr:colOff>
      <xdr:row>44</xdr:row>
      <xdr:rowOff>85725</xdr:rowOff>
    </xdr:from>
    <xdr:ext cx="2105025" cy="13049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19050</xdr:colOff>
      <xdr:row>64</xdr:row>
      <xdr:rowOff>85725</xdr:rowOff>
    </xdr:from>
    <xdr:ext cx="2105025" cy="13049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333375</xdr:colOff>
      <xdr:row>127</xdr:row>
      <xdr:rowOff>123825</xdr:rowOff>
    </xdr:from>
    <xdr:ext cx="6438900" cy="7953375"/>
    <xdr:grpSp>
      <xdr:nvGrpSpPr>
        <xdr:cNvPr id="2" name="Shape 2" title="Drawing"/>
        <xdr:cNvGrpSpPr/>
      </xdr:nvGrpSpPr>
      <xdr:grpSpPr>
        <a:xfrm>
          <a:off x="953900" y="412235"/>
          <a:ext cx="6421225" cy="6426200"/>
          <a:chOff x="953900" y="412235"/>
          <a:chExt cx="6421225" cy="6426200"/>
        </a:xfrm>
      </xdr:grpSpPr>
      <xdr:sp>
        <xdr:nvSpPr>
          <xdr:cNvPr id="3" name="Shape 3"/>
          <xdr:cNvSpPr/>
        </xdr:nvSpPr>
        <xdr:spPr>
          <a:xfrm>
            <a:off x="953900" y="412235"/>
            <a:ext cx="5975200" cy="6426200"/>
          </a:xfrm>
          <a:custGeom>
            <a:rect b="b" l="l" r="r" t="t"/>
            <a:pathLst>
              <a:path extrusionOk="0" h="257048" w="239008">
                <a:moveTo>
                  <a:pt x="0" y="782"/>
                </a:moveTo>
                <a:cubicBezTo>
                  <a:pt x="15666" y="-1458"/>
                  <a:pt x="31679" y="1719"/>
                  <a:pt x="47393" y="3593"/>
                </a:cubicBezTo>
                <a:cubicBezTo>
                  <a:pt x="73248" y="6676"/>
                  <a:pt x="99060" y="10113"/>
                  <a:pt x="124910" y="13232"/>
                </a:cubicBezTo>
                <a:cubicBezTo>
                  <a:pt x="143030" y="15419"/>
                  <a:pt x="161078" y="18176"/>
                  <a:pt x="179131" y="20864"/>
                </a:cubicBezTo>
                <a:cubicBezTo>
                  <a:pt x="192590" y="22868"/>
                  <a:pt x="208003" y="21942"/>
                  <a:pt x="218893" y="30101"/>
                </a:cubicBezTo>
                <a:cubicBezTo>
                  <a:pt x="224020" y="33943"/>
                  <a:pt x="225138" y="41351"/>
                  <a:pt x="227328" y="47372"/>
                </a:cubicBezTo>
                <a:cubicBezTo>
                  <a:pt x="232858" y="62574"/>
                  <a:pt x="236305" y="78655"/>
                  <a:pt x="237771" y="94765"/>
                </a:cubicBezTo>
                <a:cubicBezTo>
                  <a:pt x="241999" y="141228"/>
                  <a:pt x="236044" y="200676"/>
                  <a:pt x="199213" y="229315"/>
                </a:cubicBezTo>
                <a:cubicBezTo>
                  <a:pt x="169940" y="252078"/>
                  <a:pt x="128254" y="255823"/>
                  <a:pt x="91172" y="255823"/>
                </a:cubicBezTo>
                <a:cubicBezTo>
                  <a:pt x="75240" y="255823"/>
                  <a:pt x="59187" y="258197"/>
                  <a:pt x="43377" y="256224"/>
                </a:cubicBezTo>
                <a:cubicBezTo>
                  <a:pt x="36607" y="255379"/>
                  <a:pt x="30426" y="251724"/>
                  <a:pt x="23697" y="250601"/>
                </a:cubicBezTo>
                <a:cubicBezTo>
                  <a:pt x="17082" y="249497"/>
                  <a:pt x="10321" y="251806"/>
                  <a:pt x="3615" y="25180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1074375" y="6717425"/>
            <a:ext cx="492025" cy="120500"/>
          </a:xfrm>
          <a:custGeom>
            <a:rect b="b" l="l" r="r" t="t"/>
            <a:pathLst>
              <a:path extrusionOk="0" h="4820" w="19681">
                <a:moveTo>
                  <a:pt x="19681" y="4820"/>
                </a:moveTo>
                <a:cubicBezTo>
                  <a:pt x="13019" y="3709"/>
                  <a:pt x="6754" y="0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1064350" y="6466400"/>
            <a:ext cx="441800" cy="251025"/>
          </a:xfrm>
          <a:custGeom>
            <a:rect b="b" l="l" r="r" t="t"/>
            <a:pathLst>
              <a:path extrusionOk="0" h="10041" w="17672">
                <a:moveTo>
                  <a:pt x="0" y="10041"/>
                </a:moveTo>
                <a:cubicBezTo>
                  <a:pt x="5809" y="6555"/>
                  <a:pt x="14639" y="6058"/>
                  <a:pt x="17672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6" name="Shape 6"/>
          <xdr:cNvSpPr/>
        </xdr:nvSpPr>
        <xdr:spPr>
          <a:xfrm>
            <a:off x="6255550" y="3333600"/>
            <a:ext cx="953875" cy="170700"/>
          </a:xfrm>
          <a:custGeom>
            <a:rect b="b" l="l" r="r" t="t"/>
            <a:pathLst>
              <a:path extrusionOk="0" h="6828" w="38155">
                <a:moveTo>
                  <a:pt x="38155" y="0"/>
                </a:moveTo>
                <a:cubicBezTo>
                  <a:pt x="25335" y="1604"/>
                  <a:pt x="12613" y="4026"/>
                  <a:pt x="0" y="6828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6606975" y="3092625"/>
            <a:ext cx="221050" cy="632575"/>
          </a:xfrm>
          <a:custGeom>
            <a:rect b="b" l="l" r="r" t="t"/>
            <a:pathLst>
              <a:path extrusionOk="0" h="25303" w="8842">
                <a:moveTo>
                  <a:pt x="0" y="0"/>
                </a:moveTo>
                <a:cubicBezTo>
                  <a:pt x="8934" y="0"/>
                  <a:pt x="8836" y="16369"/>
                  <a:pt x="8836" y="25303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8" name="Shape 8"/>
          <xdr:cNvSpPr/>
        </xdr:nvSpPr>
        <xdr:spPr>
          <a:xfrm>
            <a:off x="6175200" y="2942000"/>
            <a:ext cx="1199925" cy="837350"/>
          </a:xfrm>
          <a:custGeom>
            <a:rect b="b" l="l" r="r" t="t"/>
            <a:pathLst>
              <a:path extrusionOk="0" h="33494" w="47997">
                <a:moveTo>
                  <a:pt x="4820" y="22091"/>
                </a:moveTo>
                <a:cubicBezTo>
                  <a:pt x="7506" y="15823"/>
                  <a:pt x="13526" y="11456"/>
                  <a:pt x="18878" y="7230"/>
                </a:cubicBezTo>
                <a:cubicBezTo>
                  <a:pt x="22554" y="4327"/>
                  <a:pt x="26243" y="0"/>
                  <a:pt x="30927" y="0"/>
                </a:cubicBezTo>
                <a:cubicBezTo>
                  <a:pt x="38333" y="0"/>
                  <a:pt x="46748" y="7128"/>
                  <a:pt x="47796" y="14460"/>
                </a:cubicBezTo>
                <a:cubicBezTo>
                  <a:pt x="49410" y="25745"/>
                  <a:pt x="30609" y="34597"/>
                  <a:pt x="19279" y="33337"/>
                </a:cubicBezTo>
                <a:cubicBezTo>
                  <a:pt x="10965" y="32412"/>
                  <a:pt x="0" y="25636"/>
                  <a:pt x="0" y="17271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0</xdr:col>
      <xdr:colOff>161925</xdr:colOff>
      <xdr:row>3</xdr:row>
      <xdr:rowOff>38100</xdr:rowOff>
    </xdr:from>
    <xdr:ext cx="4000500" cy="8191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38</xdr:row>
      <xdr:rowOff>38100</xdr:rowOff>
    </xdr:from>
    <xdr:ext cx="4086225" cy="723900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75</xdr:row>
      <xdr:rowOff>47625</xdr:rowOff>
    </xdr:from>
    <xdr:ext cx="3790950" cy="819150"/>
    <xdr:pic>
      <xdr:nvPicPr>
        <xdr:cNvPr id="0" name="image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142875</xdr:colOff>
      <xdr:row>9</xdr:row>
      <xdr:rowOff>57150</xdr:rowOff>
    </xdr:from>
    <xdr:ext cx="1981200" cy="12382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85725</xdr:colOff>
      <xdr:row>27</xdr:row>
      <xdr:rowOff>123825</xdr:rowOff>
    </xdr:from>
    <xdr:ext cx="2105025" cy="13049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19050</xdr:colOff>
      <xdr:row>44</xdr:row>
      <xdr:rowOff>85725</xdr:rowOff>
    </xdr:from>
    <xdr:ext cx="2105025" cy="13049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19050</xdr:colOff>
      <xdr:row>64</xdr:row>
      <xdr:rowOff>85725</xdr:rowOff>
    </xdr:from>
    <xdr:ext cx="2105025" cy="1304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333375</xdr:colOff>
      <xdr:row>127</xdr:row>
      <xdr:rowOff>123825</xdr:rowOff>
    </xdr:from>
    <xdr:ext cx="6438900" cy="7953375"/>
    <xdr:grpSp>
      <xdr:nvGrpSpPr>
        <xdr:cNvPr id="2" name="Shape 2" title="Drawing"/>
        <xdr:cNvGrpSpPr/>
      </xdr:nvGrpSpPr>
      <xdr:grpSpPr>
        <a:xfrm>
          <a:off x="953900" y="412235"/>
          <a:ext cx="6421225" cy="6426200"/>
          <a:chOff x="953900" y="412235"/>
          <a:chExt cx="6421225" cy="6426200"/>
        </a:xfrm>
      </xdr:grpSpPr>
      <xdr:sp>
        <xdr:nvSpPr>
          <xdr:cNvPr id="3" name="Shape 3"/>
          <xdr:cNvSpPr/>
        </xdr:nvSpPr>
        <xdr:spPr>
          <a:xfrm>
            <a:off x="953900" y="412235"/>
            <a:ext cx="5975200" cy="6426200"/>
          </a:xfrm>
          <a:custGeom>
            <a:rect b="b" l="l" r="r" t="t"/>
            <a:pathLst>
              <a:path extrusionOk="0" h="257048" w="239008">
                <a:moveTo>
                  <a:pt x="0" y="782"/>
                </a:moveTo>
                <a:cubicBezTo>
                  <a:pt x="15666" y="-1458"/>
                  <a:pt x="31679" y="1719"/>
                  <a:pt x="47393" y="3593"/>
                </a:cubicBezTo>
                <a:cubicBezTo>
                  <a:pt x="73248" y="6676"/>
                  <a:pt x="99060" y="10113"/>
                  <a:pt x="124910" y="13232"/>
                </a:cubicBezTo>
                <a:cubicBezTo>
                  <a:pt x="143030" y="15419"/>
                  <a:pt x="161078" y="18176"/>
                  <a:pt x="179131" y="20864"/>
                </a:cubicBezTo>
                <a:cubicBezTo>
                  <a:pt x="192590" y="22868"/>
                  <a:pt x="208003" y="21942"/>
                  <a:pt x="218893" y="30101"/>
                </a:cubicBezTo>
                <a:cubicBezTo>
                  <a:pt x="224020" y="33943"/>
                  <a:pt x="225138" y="41351"/>
                  <a:pt x="227328" y="47372"/>
                </a:cubicBezTo>
                <a:cubicBezTo>
                  <a:pt x="232858" y="62574"/>
                  <a:pt x="236305" y="78655"/>
                  <a:pt x="237771" y="94765"/>
                </a:cubicBezTo>
                <a:cubicBezTo>
                  <a:pt x="241999" y="141228"/>
                  <a:pt x="236044" y="200676"/>
                  <a:pt x="199213" y="229315"/>
                </a:cubicBezTo>
                <a:cubicBezTo>
                  <a:pt x="169940" y="252078"/>
                  <a:pt x="128254" y="255823"/>
                  <a:pt x="91172" y="255823"/>
                </a:cubicBezTo>
                <a:cubicBezTo>
                  <a:pt x="75240" y="255823"/>
                  <a:pt x="59187" y="258197"/>
                  <a:pt x="43377" y="256224"/>
                </a:cubicBezTo>
                <a:cubicBezTo>
                  <a:pt x="36607" y="255379"/>
                  <a:pt x="30426" y="251724"/>
                  <a:pt x="23697" y="250601"/>
                </a:cubicBezTo>
                <a:cubicBezTo>
                  <a:pt x="17082" y="249497"/>
                  <a:pt x="10321" y="251806"/>
                  <a:pt x="3615" y="25180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1074375" y="6717425"/>
            <a:ext cx="492025" cy="120500"/>
          </a:xfrm>
          <a:custGeom>
            <a:rect b="b" l="l" r="r" t="t"/>
            <a:pathLst>
              <a:path extrusionOk="0" h="4820" w="19681">
                <a:moveTo>
                  <a:pt x="19681" y="4820"/>
                </a:moveTo>
                <a:cubicBezTo>
                  <a:pt x="13019" y="3709"/>
                  <a:pt x="6754" y="0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1064350" y="6466400"/>
            <a:ext cx="441800" cy="251025"/>
          </a:xfrm>
          <a:custGeom>
            <a:rect b="b" l="l" r="r" t="t"/>
            <a:pathLst>
              <a:path extrusionOk="0" h="10041" w="17672">
                <a:moveTo>
                  <a:pt x="0" y="10041"/>
                </a:moveTo>
                <a:cubicBezTo>
                  <a:pt x="5809" y="6555"/>
                  <a:pt x="14639" y="6058"/>
                  <a:pt x="17672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6" name="Shape 6"/>
          <xdr:cNvSpPr/>
        </xdr:nvSpPr>
        <xdr:spPr>
          <a:xfrm>
            <a:off x="6255550" y="3333600"/>
            <a:ext cx="953875" cy="170700"/>
          </a:xfrm>
          <a:custGeom>
            <a:rect b="b" l="l" r="r" t="t"/>
            <a:pathLst>
              <a:path extrusionOk="0" h="6828" w="38155">
                <a:moveTo>
                  <a:pt x="38155" y="0"/>
                </a:moveTo>
                <a:cubicBezTo>
                  <a:pt x="25335" y="1604"/>
                  <a:pt x="12613" y="4026"/>
                  <a:pt x="0" y="6828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6606975" y="3092625"/>
            <a:ext cx="221050" cy="632575"/>
          </a:xfrm>
          <a:custGeom>
            <a:rect b="b" l="l" r="r" t="t"/>
            <a:pathLst>
              <a:path extrusionOk="0" h="25303" w="8842">
                <a:moveTo>
                  <a:pt x="0" y="0"/>
                </a:moveTo>
                <a:cubicBezTo>
                  <a:pt x="8934" y="0"/>
                  <a:pt x="8836" y="16369"/>
                  <a:pt x="8836" y="25303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8" name="Shape 8"/>
          <xdr:cNvSpPr/>
        </xdr:nvSpPr>
        <xdr:spPr>
          <a:xfrm>
            <a:off x="6175200" y="2942000"/>
            <a:ext cx="1199925" cy="837350"/>
          </a:xfrm>
          <a:custGeom>
            <a:rect b="b" l="l" r="r" t="t"/>
            <a:pathLst>
              <a:path extrusionOk="0" h="33494" w="47997">
                <a:moveTo>
                  <a:pt x="4820" y="22091"/>
                </a:moveTo>
                <a:cubicBezTo>
                  <a:pt x="7506" y="15823"/>
                  <a:pt x="13526" y="11456"/>
                  <a:pt x="18878" y="7230"/>
                </a:cubicBezTo>
                <a:cubicBezTo>
                  <a:pt x="22554" y="4327"/>
                  <a:pt x="26243" y="0"/>
                  <a:pt x="30927" y="0"/>
                </a:cubicBezTo>
                <a:cubicBezTo>
                  <a:pt x="38333" y="0"/>
                  <a:pt x="46748" y="7128"/>
                  <a:pt x="47796" y="14460"/>
                </a:cubicBezTo>
                <a:cubicBezTo>
                  <a:pt x="49410" y="25745"/>
                  <a:pt x="30609" y="34597"/>
                  <a:pt x="19279" y="33337"/>
                </a:cubicBezTo>
                <a:cubicBezTo>
                  <a:pt x="10965" y="32412"/>
                  <a:pt x="0" y="25636"/>
                  <a:pt x="0" y="17271"/>
                </a:cubicBezTo>
              </a:path>
            </a:pathLst>
          </a:cu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0</xdr:col>
      <xdr:colOff>161925</xdr:colOff>
      <xdr:row>3</xdr:row>
      <xdr:rowOff>38100</xdr:rowOff>
    </xdr:from>
    <xdr:ext cx="4000500" cy="8191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38</xdr:row>
      <xdr:rowOff>38100</xdr:rowOff>
    </xdr:from>
    <xdr:ext cx="4086225" cy="723900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75</xdr:row>
      <xdr:rowOff>47625</xdr:rowOff>
    </xdr:from>
    <xdr:ext cx="3790950" cy="819150"/>
    <xdr:pic>
      <xdr:nvPicPr>
        <xdr:cNvPr id="0" name="image3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88"/>
    <col customWidth="1" min="3" max="3" width="6.0"/>
    <col customWidth="1" min="4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5"/>
      <c r="T3" s="6"/>
      <c r="U3" s="2"/>
      <c r="V3" s="2"/>
      <c r="W3" s="2"/>
      <c r="X3" s="2"/>
      <c r="Y3" s="2"/>
      <c r="Z3" s="2"/>
    </row>
    <row r="4">
      <c r="B4" s="1"/>
      <c r="C4" s="2"/>
      <c r="D4" s="2"/>
      <c r="E4" s="2"/>
      <c r="F4" s="2"/>
      <c r="K4" s="2"/>
      <c r="L4" s="2"/>
      <c r="M4" s="2"/>
      <c r="N4" s="2"/>
      <c r="O4" s="2"/>
      <c r="P4" s="2"/>
      <c r="Q4" s="2"/>
      <c r="R4" s="2"/>
      <c r="S4" s="5"/>
      <c r="T4" s="6"/>
      <c r="U4" s="2"/>
      <c r="V4" s="2"/>
      <c r="W4" s="2"/>
      <c r="X4" s="2"/>
      <c r="Y4" s="2"/>
      <c r="Z4" s="2"/>
    </row>
    <row r="5">
      <c r="K5" s="2"/>
      <c r="L5" s="2"/>
      <c r="M5" s="2"/>
      <c r="N5" s="2"/>
      <c r="O5" s="2"/>
      <c r="P5" s="2"/>
      <c r="Q5" s="2"/>
      <c r="R5" s="2"/>
      <c r="S5" s="5"/>
      <c r="T5" s="6"/>
      <c r="U5" s="2"/>
      <c r="V5" s="2"/>
      <c r="W5" s="2"/>
      <c r="X5" s="2"/>
      <c r="Y5" s="2"/>
      <c r="Z5" s="2"/>
    </row>
    <row r="6">
      <c r="K6" s="2"/>
      <c r="L6" s="2"/>
      <c r="M6" s="2"/>
      <c r="N6" s="2"/>
      <c r="O6" s="2"/>
      <c r="P6" s="2"/>
      <c r="Q6" s="2"/>
      <c r="R6" s="2"/>
      <c r="S6" s="5"/>
      <c r="T6" s="6"/>
      <c r="U6" s="2"/>
      <c r="V6" s="2"/>
      <c r="W6" s="2"/>
      <c r="X6" s="2"/>
      <c r="Y6" s="2"/>
      <c r="Z6" s="2"/>
    </row>
    <row r="7">
      <c r="K7" s="2"/>
      <c r="L7" s="2"/>
      <c r="M7" s="2"/>
      <c r="N7" s="2"/>
      <c r="O7" s="2"/>
      <c r="P7" s="2"/>
      <c r="Q7" s="2"/>
      <c r="R7" s="2"/>
      <c r="S7" s="5"/>
      <c r="T7" s="6"/>
      <c r="U7" s="2"/>
      <c r="V7" s="2"/>
      <c r="W7" s="2"/>
      <c r="X7" s="2"/>
      <c r="Y7" s="2"/>
      <c r="Z7" s="2"/>
    </row>
    <row r="8">
      <c r="K8" s="2"/>
      <c r="L8" s="2"/>
      <c r="M8" s="2"/>
      <c r="N8" s="2"/>
      <c r="O8" s="2"/>
      <c r="P8" s="2"/>
      <c r="Q8" s="2"/>
      <c r="R8" s="2"/>
      <c r="S8" s="5"/>
      <c r="T8" s="6"/>
      <c r="U8" s="2"/>
      <c r="V8" s="2"/>
      <c r="W8" s="2"/>
      <c r="X8" s="2"/>
      <c r="Y8" s="2"/>
      <c r="Z8" s="2"/>
    </row>
    <row r="9">
      <c r="B9" s="1"/>
      <c r="C9" s="2"/>
      <c r="D9" s="2"/>
      <c r="E9" s="2"/>
      <c r="F9" s="2"/>
      <c r="G9" s="7" t="s">
        <v>1</v>
      </c>
      <c r="H9" s="8"/>
      <c r="I9" s="8"/>
      <c r="J9" s="8"/>
      <c r="K9" s="2"/>
      <c r="L9" s="2"/>
      <c r="M9" s="2"/>
      <c r="N9" s="2"/>
      <c r="O9" s="2"/>
      <c r="P9" s="2"/>
      <c r="Q9" s="2"/>
      <c r="R9" s="2"/>
      <c r="S9" s="5"/>
      <c r="T9" s="6"/>
      <c r="U9" s="2"/>
      <c r="V9" s="2"/>
      <c r="W9" s="2"/>
      <c r="X9" s="2"/>
      <c r="Y9" s="2"/>
      <c r="Z9" s="2"/>
    </row>
    <row r="10">
      <c r="B10" s="1"/>
      <c r="C10" s="2"/>
      <c r="D10" s="2"/>
      <c r="E10" s="2"/>
      <c r="F10" s="2"/>
      <c r="G10" s="2"/>
      <c r="H10" s="9" t="s">
        <v>2</v>
      </c>
      <c r="I10" s="10" t="s">
        <v>3</v>
      </c>
      <c r="J10" s="2"/>
      <c r="K10" s="2"/>
      <c r="L10" s="2"/>
      <c r="M10" s="2"/>
      <c r="N10" s="2"/>
      <c r="O10" s="2"/>
      <c r="P10" s="2"/>
      <c r="Q10" s="2"/>
      <c r="R10" s="2"/>
      <c r="S10" s="5"/>
      <c r="T10" s="6"/>
      <c r="U10" s="2"/>
      <c r="V10" s="2"/>
      <c r="W10" s="2"/>
      <c r="X10" s="2"/>
      <c r="Y10" s="2"/>
      <c r="Z10" s="2"/>
    </row>
    <row r="11">
      <c r="B11" s="11" t="s">
        <v>4</v>
      </c>
      <c r="C11" s="12">
        <f t="shared" ref="C11:G11" si="1">Rand()</f>
        <v>0.04742410099</v>
      </c>
      <c r="D11" s="13">
        <f t="shared" si="1"/>
        <v>0.7627840246</v>
      </c>
      <c r="E11" s="13">
        <f t="shared" si="1"/>
        <v>0.002833186827</v>
      </c>
      <c r="F11" s="13">
        <f t="shared" si="1"/>
        <v>0.4301227351</v>
      </c>
      <c r="G11" s="14">
        <f t="shared" si="1"/>
        <v>0.05206433907</v>
      </c>
      <c r="H11" s="15"/>
      <c r="I11" s="16"/>
      <c r="J11" s="2"/>
      <c r="K11" s="2"/>
      <c r="L11" s="2"/>
      <c r="M11" s="2"/>
      <c r="N11" s="2"/>
      <c r="O11" s="2"/>
      <c r="P11" s="2"/>
      <c r="Q11" s="2"/>
      <c r="R11" s="2"/>
      <c r="S11" s="5"/>
      <c r="T11" s="6"/>
      <c r="U11" s="2"/>
      <c r="V11" s="2"/>
      <c r="W11" s="2"/>
      <c r="X11" s="2"/>
      <c r="Y11" s="2"/>
      <c r="Z11" s="2"/>
    </row>
    <row r="12">
      <c r="B12" s="1"/>
      <c r="C12" s="17">
        <f t="shared" ref="C12:G12" si="2">Rand()</f>
        <v>0.2021941169</v>
      </c>
      <c r="D12" s="16">
        <f t="shared" si="2"/>
        <v>0.6246883415</v>
      </c>
      <c r="E12" s="16">
        <f t="shared" si="2"/>
        <v>0.06292401701</v>
      </c>
      <c r="F12" s="16">
        <f t="shared" si="2"/>
        <v>0.7948265243</v>
      </c>
      <c r="G12" s="18">
        <f t="shared" si="2"/>
        <v>0.2185536616</v>
      </c>
      <c r="H12" s="16"/>
      <c r="I12" s="16"/>
      <c r="J12" s="2"/>
      <c r="K12" s="2"/>
      <c r="L12" s="2"/>
      <c r="M12" s="2"/>
      <c r="N12" s="2"/>
      <c r="O12" s="2"/>
      <c r="P12" s="2"/>
      <c r="Q12" s="2"/>
      <c r="R12" s="2"/>
      <c r="S12" s="5"/>
      <c r="T12" s="6"/>
      <c r="U12" s="2"/>
      <c r="V12" s="2"/>
      <c r="W12" s="2"/>
      <c r="X12" s="2"/>
      <c r="Y12" s="2"/>
      <c r="Z12" s="2"/>
    </row>
    <row r="13">
      <c r="B13" s="1"/>
      <c r="C13" s="17">
        <f t="shared" ref="C13:G13" si="3">Rand()</f>
        <v>0.2963329024</v>
      </c>
      <c r="D13" s="16">
        <f t="shared" si="3"/>
        <v>0.5300369803</v>
      </c>
      <c r="E13" s="16">
        <f t="shared" si="3"/>
        <v>0.04697418745</v>
      </c>
      <c r="F13" s="16">
        <f t="shared" si="3"/>
        <v>0.485815814</v>
      </c>
      <c r="G13" s="18">
        <f t="shared" si="3"/>
        <v>0.05297477538</v>
      </c>
      <c r="H13" s="16"/>
      <c r="I13" s="16"/>
      <c r="J13" s="2"/>
      <c r="K13" s="2"/>
      <c r="L13" s="2"/>
      <c r="M13" s="2"/>
      <c r="N13" s="2"/>
      <c r="O13" s="2"/>
      <c r="P13" s="2"/>
      <c r="Q13" s="2"/>
      <c r="R13" s="2"/>
      <c r="S13" s="5"/>
      <c r="T13" s="6"/>
      <c r="U13" s="2"/>
      <c r="V13" s="2"/>
      <c r="W13" s="2"/>
      <c r="X13" s="2"/>
      <c r="Y13" s="2"/>
      <c r="Z13" s="2"/>
    </row>
    <row r="14">
      <c r="B14" s="1"/>
      <c r="C14" s="17">
        <f t="shared" ref="C14:G14" si="4">Rand()</f>
        <v>0.9786145929</v>
      </c>
      <c r="D14" s="16">
        <f t="shared" si="4"/>
        <v>0.3814328511</v>
      </c>
      <c r="E14" s="16">
        <f t="shared" si="4"/>
        <v>0.2027860176</v>
      </c>
      <c r="F14" s="16">
        <f t="shared" si="4"/>
        <v>0.2594722772</v>
      </c>
      <c r="G14" s="18">
        <f t="shared" si="4"/>
        <v>0.3960330487</v>
      </c>
      <c r="H14" s="16"/>
      <c r="I14" s="16"/>
      <c r="J14" s="2"/>
      <c r="K14" s="2"/>
      <c r="L14" s="2"/>
      <c r="M14" s="2"/>
      <c r="N14" s="2"/>
      <c r="O14" s="2"/>
      <c r="P14" s="2"/>
      <c r="Q14" s="2"/>
      <c r="R14" s="2"/>
      <c r="S14" s="5"/>
      <c r="T14" s="6"/>
      <c r="U14" s="2"/>
      <c r="V14" s="2"/>
      <c r="W14" s="2"/>
      <c r="X14" s="2"/>
      <c r="Y14" s="2"/>
      <c r="Z14" s="2"/>
    </row>
    <row r="15">
      <c r="B15" s="1"/>
      <c r="C15" s="19">
        <f t="shared" ref="C15:G15" si="5">Rand()</f>
        <v>0.3235563947</v>
      </c>
      <c r="D15" s="20">
        <f t="shared" si="5"/>
        <v>0.4873436083</v>
      </c>
      <c r="E15" s="20">
        <f t="shared" si="5"/>
        <v>0.1873076935</v>
      </c>
      <c r="F15" s="20">
        <f t="shared" si="5"/>
        <v>0.8703066896</v>
      </c>
      <c r="G15" s="21">
        <f t="shared" si="5"/>
        <v>0.05765745009</v>
      </c>
      <c r="H15" s="16"/>
      <c r="I15" s="16"/>
      <c r="J15" s="2"/>
      <c r="K15" s="2"/>
      <c r="L15" s="2"/>
      <c r="M15" s="2"/>
      <c r="N15" s="2"/>
      <c r="O15" s="2"/>
      <c r="P15" s="2"/>
      <c r="Q15" s="2"/>
      <c r="R15" s="2"/>
      <c r="S15" s="5"/>
      <c r="T15" s="6"/>
      <c r="U15" s="2"/>
      <c r="V15" s="2"/>
      <c r="W15" s="2"/>
      <c r="X15" s="2"/>
      <c r="Y15" s="2"/>
      <c r="Z15" s="2"/>
    </row>
    <row r="16">
      <c r="I16" s="2"/>
      <c r="J16" s="2"/>
      <c r="K16" s="2"/>
      <c r="L16" s="2"/>
      <c r="M16" s="2"/>
      <c r="N16" s="2"/>
      <c r="O16" s="2"/>
      <c r="P16" s="2"/>
      <c r="Q16" s="2"/>
      <c r="R16" s="2"/>
      <c r="S16" s="5"/>
      <c r="T16" s="6"/>
      <c r="U16" s="2"/>
      <c r="V16" s="2"/>
      <c r="W16" s="2"/>
      <c r="X16" s="2"/>
      <c r="Y16" s="2"/>
      <c r="Z16" s="2"/>
    </row>
    <row r="17">
      <c r="I17" s="2"/>
      <c r="J17" s="2"/>
      <c r="K17" s="2"/>
      <c r="L17" s="2"/>
      <c r="M17" s="2"/>
      <c r="N17" s="2"/>
      <c r="O17" s="2"/>
      <c r="P17" s="2"/>
      <c r="Q17" s="2"/>
      <c r="R17" s="2"/>
      <c r="S17" s="5"/>
      <c r="T17" s="6"/>
      <c r="U17" s="2"/>
      <c r="V17" s="2"/>
      <c r="W17" s="2"/>
      <c r="X17" s="2"/>
      <c r="Y17" s="2"/>
      <c r="Z17" s="2"/>
    </row>
    <row r="18">
      <c r="A18" s="22" t="s">
        <v>5</v>
      </c>
      <c r="F18" s="23" t="s">
        <v>6</v>
      </c>
      <c r="G18" s="24">
        <f>1E-16</f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5"/>
      <c r="T18" s="6"/>
      <c r="U18" s="2"/>
      <c r="V18" s="2"/>
      <c r="W18" s="2"/>
      <c r="X18" s="2"/>
      <c r="Y18" s="2"/>
      <c r="Z18" s="2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6"/>
      <c r="T19" s="27"/>
      <c r="U19" s="25"/>
      <c r="V19" s="25"/>
      <c r="W19" s="25"/>
      <c r="X19" s="25"/>
      <c r="Y19" s="25"/>
      <c r="Z19" s="25"/>
    </row>
    <row r="20">
      <c r="A20" s="25"/>
      <c r="B20" s="11" t="s">
        <v>7</v>
      </c>
      <c r="C20" s="28"/>
      <c r="D20" s="29"/>
      <c r="E20" s="29"/>
      <c r="F20" s="29"/>
      <c r="G20" s="30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6"/>
      <c r="T20" s="27"/>
      <c r="U20" s="25"/>
      <c r="V20" s="25"/>
      <c r="W20" s="25"/>
      <c r="X20" s="25"/>
      <c r="Y20" s="25"/>
      <c r="Z20" s="25"/>
    </row>
    <row r="21">
      <c r="A21" s="25"/>
      <c r="B21" s="11" t="s">
        <v>8</v>
      </c>
      <c r="C21" s="31"/>
      <c r="D21" s="32"/>
      <c r="E21" s="32"/>
      <c r="F21" s="32"/>
      <c r="G21" s="33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6"/>
      <c r="T21" s="27"/>
      <c r="U21" s="25"/>
      <c r="V21" s="25"/>
      <c r="W21" s="25"/>
      <c r="X21" s="25"/>
      <c r="Y21" s="25"/>
      <c r="Z21" s="25"/>
    </row>
    <row r="22">
      <c r="A22" s="25"/>
      <c r="B22" s="25"/>
      <c r="C22" s="31"/>
      <c r="D22" s="32"/>
      <c r="E22" s="32"/>
      <c r="F22" s="32"/>
      <c r="G22" s="33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6"/>
      <c r="T22" s="27"/>
      <c r="U22" s="25"/>
      <c r="V22" s="25"/>
      <c r="W22" s="25"/>
      <c r="X22" s="25"/>
      <c r="Y22" s="25"/>
      <c r="Z22" s="25"/>
    </row>
    <row r="23">
      <c r="A23" s="25"/>
      <c r="B23" s="25"/>
      <c r="C23" s="31"/>
      <c r="D23" s="32"/>
      <c r="E23" s="32"/>
      <c r="F23" s="32"/>
      <c r="G23" s="33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6"/>
      <c r="T23" s="27"/>
      <c r="U23" s="25"/>
      <c r="V23" s="25"/>
      <c r="W23" s="25"/>
      <c r="X23" s="25"/>
      <c r="Y23" s="25"/>
      <c r="Z23" s="25"/>
    </row>
    <row r="24">
      <c r="A24" s="25"/>
      <c r="B24" s="25"/>
      <c r="C24" s="34"/>
      <c r="D24" s="35"/>
      <c r="E24" s="35"/>
      <c r="F24" s="35"/>
      <c r="G24" s="36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6"/>
      <c r="T24" s="27"/>
      <c r="U24" s="25"/>
      <c r="V24" s="25"/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5"/>
      <c r="T25" s="6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5"/>
      <c r="T26" s="6"/>
      <c r="U26" s="2"/>
      <c r="V26" s="2"/>
      <c r="W26" s="2"/>
      <c r="X26" s="2"/>
      <c r="Y26" s="2"/>
      <c r="Z26" s="2"/>
    </row>
    <row r="27">
      <c r="A27" s="37" t="s">
        <v>9</v>
      </c>
      <c r="E27" s="2"/>
      <c r="F27" s="23" t="s">
        <v>10</v>
      </c>
      <c r="G27" s="38">
        <v>0.5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5"/>
      <c r="T27" s="6"/>
      <c r="U27" s="2"/>
      <c r="V27" s="2"/>
      <c r="W27" s="2"/>
      <c r="X27" s="2"/>
      <c r="Y27" s="2"/>
      <c r="Z27" s="2"/>
    </row>
    <row r="28">
      <c r="E28" s="2"/>
      <c r="F28" s="23" t="s">
        <v>11</v>
      </c>
      <c r="G28" s="38">
        <v>0.1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5"/>
      <c r="T28" s="6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5"/>
      <c r="T29" s="6"/>
      <c r="U29" s="2"/>
      <c r="V29" s="2"/>
      <c r="W29" s="2"/>
      <c r="X29" s="2"/>
      <c r="Y29" s="2"/>
      <c r="Z29" s="2"/>
    </row>
    <row r="30">
      <c r="B30" s="23" t="s">
        <v>12</v>
      </c>
      <c r="C30" s="39"/>
      <c r="D30" s="40"/>
      <c r="E30" s="40"/>
      <c r="F30" s="40"/>
      <c r="G30" s="4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5"/>
      <c r="T30" s="6"/>
      <c r="U30" s="2"/>
      <c r="V30" s="2"/>
      <c r="W30" s="2"/>
      <c r="Z30" s="2"/>
    </row>
    <row r="31">
      <c r="B31" s="1"/>
      <c r="C31" s="42"/>
      <c r="D31" s="43"/>
      <c r="E31" s="43"/>
      <c r="F31" s="43"/>
      <c r="G31" s="4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5"/>
      <c r="T31" s="6"/>
      <c r="U31" s="2"/>
      <c r="V31" s="2"/>
      <c r="W31" s="2"/>
      <c r="Z31" s="2"/>
    </row>
    <row r="32">
      <c r="B32" s="1"/>
      <c r="C32" s="42"/>
      <c r="D32" s="43"/>
      <c r="E32" s="43"/>
      <c r="F32" s="43"/>
      <c r="G32" s="4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5"/>
      <c r="T32" s="6"/>
      <c r="U32" s="2"/>
      <c r="V32" s="2"/>
      <c r="W32" s="2"/>
      <c r="X32" s="2"/>
      <c r="Y32" s="2"/>
      <c r="Z32" s="2"/>
    </row>
    <row r="33">
      <c r="B33" s="1"/>
      <c r="C33" s="42"/>
      <c r="D33" s="43"/>
      <c r="E33" s="43"/>
      <c r="F33" s="43"/>
      <c r="G33" s="4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5"/>
      <c r="T33" s="6"/>
      <c r="U33" s="2"/>
      <c r="V33" s="2"/>
      <c r="W33" s="2"/>
      <c r="X33" s="2"/>
      <c r="Y33" s="2"/>
      <c r="Z33" s="2"/>
    </row>
    <row r="34">
      <c r="B34" s="1"/>
      <c r="C34" s="45"/>
      <c r="D34" s="46"/>
      <c r="E34" s="46"/>
      <c r="F34" s="46"/>
      <c r="G34" s="4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5"/>
      <c r="T34" s="6"/>
      <c r="U34" s="2"/>
      <c r="V34" s="2"/>
      <c r="W34" s="2"/>
      <c r="X34" s="2"/>
      <c r="Y34" s="2"/>
      <c r="Z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5"/>
      <c r="T35" s="6"/>
      <c r="U35" s="2"/>
      <c r="V35" s="2"/>
      <c r="W35" s="2"/>
      <c r="X35" s="2"/>
      <c r="Y35" s="2"/>
      <c r="Z35" s="2"/>
    </row>
    <row r="36"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5"/>
      <c r="T36" s="6"/>
      <c r="U36" s="2"/>
      <c r="V36" s="2"/>
      <c r="W36" s="2"/>
      <c r="X36" s="2"/>
      <c r="Y36" s="2"/>
      <c r="Z36" s="2"/>
    </row>
    <row r="37">
      <c r="A37" s="3" t="s">
        <v>13</v>
      </c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11" t="s">
        <v>4</v>
      </c>
      <c r="C46" s="48">
        <f t="shared" ref="C46:G46" si="6">Rand()</f>
        <v>0.2557494986</v>
      </c>
      <c r="D46" s="49">
        <f t="shared" si="6"/>
        <v>0.8290682412</v>
      </c>
      <c r="E46" s="50">
        <f t="shared" si="6"/>
        <v>0.923349452</v>
      </c>
      <c r="F46" s="51">
        <f t="shared" si="6"/>
        <v>0.2306472605</v>
      </c>
      <c r="G46" s="52">
        <f t="shared" si="6"/>
        <v>0.09905758637</v>
      </c>
      <c r="H46" s="53"/>
      <c r="I46" s="53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54">
        <f t="shared" ref="C47:G47" si="7">Rand()</f>
        <v>0.964511992</v>
      </c>
      <c r="D47" s="55">
        <f t="shared" si="7"/>
        <v>0.6559659029</v>
      </c>
      <c r="E47" s="56">
        <f t="shared" si="7"/>
        <v>0.2176343688</v>
      </c>
      <c r="F47" s="57">
        <f t="shared" si="7"/>
        <v>0.1816672532</v>
      </c>
      <c r="G47" s="58">
        <f t="shared" si="7"/>
        <v>0.478784543</v>
      </c>
      <c r="H47" s="53"/>
      <c r="I47" s="53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59">
        <f t="shared" ref="C48:G48" si="8">Rand()</f>
        <v>0.6605908486</v>
      </c>
      <c r="D48" s="60">
        <f t="shared" si="8"/>
        <v>0.283888053</v>
      </c>
      <c r="E48" s="61">
        <f t="shared" si="8"/>
        <v>0.626282205</v>
      </c>
      <c r="F48" s="62">
        <f t="shared" si="8"/>
        <v>0.01220788449</v>
      </c>
      <c r="G48" s="63">
        <f t="shared" si="8"/>
        <v>0.5891407197</v>
      </c>
      <c r="H48" s="53"/>
      <c r="I48" s="53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64">
        <f t="shared" ref="C49:G49" si="9">Rand()</f>
        <v>0.7005843551</v>
      </c>
      <c r="D49" s="65">
        <f t="shared" si="9"/>
        <v>0.7194845175</v>
      </c>
      <c r="E49" s="66">
        <f t="shared" si="9"/>
        <v>0.1174456528</v>
      </c>
      <c r="F49" s="67">
        <f t="shared" si="9"/>
        <v>0.2616214796</v>
      </c>
      <c r="G49" s="68">
        <f t="shared" si="9"/>
        <v>0.2191297705</v>
      </c>
      <c r="H49" s="53"/>
      <c r="I49" s="53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69">
        <f t="shared" ref="C50:G50" si="10">Rand()</f>
        <v>0.1843278388</v>
      </c>
      <c r="D50" s="70">
        <f t="shared" si="10"/>
        <v>0.205852461</v>
      </c>
      <c r="E50" s="71">
        <f t="shared" si="10"/>
        <v>0.567968965</v>
      </c>
      <c r="F50" s="72">
        <f t="shared" si="10"/>
        <v>0.8090592798</v>
      </c>
      <c r="G50" s="73">
        <f t="shared" si="10"/>
        <v>0.5261282046</v>
      </c>
      <c r="H50" s="53"/>
      <c r="I50" s="53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74" t="s">
        <v>2</v>
      </c>
      <c r="C51" s="53">
        <f t="shared" ref="C51:G51" si="11">AVERAGE(C46:C50)</f>
        <v>0.5531529066</v>
      </c>
      <c r="D51" s="53">
        <f t="shared" si="11"/>
        <v>0.5388518351</v>
      </c>
      <c r="E51" s="53">
        <f t="shared" si="11"/>
        <v>0.4905361287</v>
      </c>
      <c r="F51" s="53">
        <f t="shared" si="11"/>
        <v>0.2990406315</v>
      </c>
      <c r="G51" s="53">
        <f t="shared" si="11"/>
        <v>0.3824481648</v>
      </c>
      <c r="H51" s="75" t="s">
        <v>1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76" t="s">
        <v>3</v>
      </c>
      <c r="C52" s="53">
        <f t="shared" ref="C52:G52" si="12">Var(C46:C50)</f>
        <v>0.1067439896</v>
      </c>
      <c r="D52" s="53">
        <f t="shared" si="12"/>
        <v>0.07661613664</v>
      </c>
      <c r="E52" s="53">
        <f t="shared" si="12"/>
        <v>0.106355522</v>
      </c>
      <c r="F52" s="53">
        <f t="shared" si="12"/>
        <v>0.09056160062</v>
      </c>
      <c r="G52" s="53">
        <f t="shared" si="12"/>
        <v>0.04490739542</v>
      </c>
      <c r="H52" s="77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78"/>
      <c r="B54" s="78"/>
      <c r="C54" s="78"/>
      <c r="D54" s="78"/>
      <c r="E54" s="25"/>
      <c r="F54" s="79"/>
      <c r="G54" s="80"/>
      <c r="H54" s="80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78" t="s">
        <v>5</v>
      </c>
      <c r="E55" s="25"/>
      <c r="F55" s="79" t="s">
        <v>6</v>
      </c>
      <c r="G55" s="80">
        <f>1E-16</f>
        <v>0</v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81"/>
      <c r="T56" s="82"/>
      <c r="U56" s="25"/>
      <c r="V56" s="25"/>
      <c r="W56" s="25"/>
      <c r="X56" s="25"/>
      <c r="Y56" s="25"/>
      <c r="Z56" s="25"/>
    </row>
    <row r="57">
      <c r="A57" s="25"/>
      <c r="B57" s="79" t="s">
        <v>7</v>
      </c>
      <c r="C57" s="83"/>
      <c r="D57" s="84"/>
      <c r="E57" s="84"/>
      <c r="F57" s="84"/>
      <c r="G57" s="8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81"/>
      <c r="T57" s="82"/>
      <c r="U57" s="25"/>
      <c r="V57" s="25"/>
      <c r="W57" s="25"/>
      <c r="X57" s="25"/>
      <c r="Y57" s="25"/>
      <c r="Z57" s="25"/>
    </row>
    <row r="58">
      <c r="A58" s="25"/>
      <c r="B58" s="11" t="s">
        <v>14</v>
      </c>
      <c r="C58" s="86"/>
      <c r="D58" s="87"/>
      <c r="E58" s="87"/>
      <c r="F58" s="87"/>
      <c r="G58" s="88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81"/>
      <c r="T58" s="82"/>
      <c r="U58" s="25"/>
      <c r="V58" s="25"/>
      <c r="W58" s="25"/>
      <c r="X58" s="25"/>
      <c r="Y58" s="25"/>
      <c r="Z58" s="25"/>
    </row>
    <row r="59">
      <c r="A59" s="25"/>
      <c r="B59" s="25"/>
      <c r="C59" s="86"/>
      <c r="D59" s="87"/>
      <c r="E59" s="87"/>
      <c r="F59" s="87"/>
      <c r="G59" s="88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81"/>
      <c r="T59" s="82"/>
      <c r="U59" s="25"/>
      <c r="V59" s="25"/>
      <c r="W59" s="25"/>
      <c r="X59" s="25"/>
      <c r="Y59" s="25"/>
      <c r="Z59" s="25"/>
    </row>
    <row r="60">
      <c r="A60" s="25"/>
      <c r="B60" s="25"/>
      <c r="C60" s="86"/>
      <c r="D60" s="87"/>
      <c r="E60" s="87"/>
      <c r="F60" s="87"/>
      <c r="G60" s="88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81"/>
      <c r="T60" s="82"/>
      <c r="U60" s="25"/>
      <c r="V60" s="25"/>
      <c r="W60" s="25"/>
      <c r="X60" s="25"/>
      <c r="Y60" s="25"/>
      <c r="Z60" s="25"/>
    </row>
    <row r="61">
      <c r="A61" s="25"/>
      <c r="B61" s="25"/>
      <c r="C61" s="89"/>
      <c r="D61" s="90"/>
      <c r="E61" s="90"/>
      <c r="F61" s="90"/>
      <c r="G61" s="91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81"/>
      <c r="T61" s="82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92" t="s">
        <v>9</v>
      </c>
      <c r="E64" s="25"/>
      <c r="F64" s="79" t="s">
        <v>10</v>
      </c>
      <c r="G64" s="93">
        <v>0.5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E65" s="25"/>
      <c r="F65" s="79" t="s">
        <v>11</v>
      </c>
      <c r="G65" s="94">
        <v>-0.1</v>
      </c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11" t="s">
        <v>15</v>
      </c>
      <c r="C67" s="28">
        <f t="shared" ref="C67:G67" si="13">$G$64*C57+$G$65</f>
        <v>-0.1</v>
      </c>
      <c r="D67" s="29">
        <f t="shared" si="13"/>
        <v>-0.1</v>
      </c>
      <c r="E67" s="29">
        <f t="shared" si="13"/>
        <v>-0.1</v>
      </c>
      <c r="F67" s="29">
        <f t="shared" si="13"/>
        <v>-0.1</v>
      </c>
      <c r="G67" s="30">
        <f t="shared" si="13"/>
        <v>-0.1</v>
      </c>
      <c r="H67" s="25"/>
      <c r="I67" s="25"/>
      <c r="J67" s="9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31">
        <f t="shared" ref="C68:G68" si="14">$G$64*C58+$G$65</f>
        <v>-0.1</v>
      </c>
      <c r="D68" s="32">
        <f t="shared" si="14"/>
        <v>-0.1</v>
      </c>
      <c r="E68" s="32">
        <f t="shared" si="14"/>
        <v>-0.1</v>
      </c>
      <c r="F68" s="32">
        <f t="shared" si="14"/>
        <v>-0.1</v>
      </c>
      <c r="G68" s="33">
        <f t="shared" si="14"/>
        <v>-0.1</v>
      </c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31">
        <f t="shared" ref="C69:G69" si="15">$G$64*C59+$G$65</f>
        <v>-0.1</v>
      </c>
      <c r="D69" s="32">
        <f t="shared" si="15"/>
        <v>-0.1</v>
      </c>
      <c r="E69" s="32">
        <f t="shared" si="15"/>
        <v>-0.1</v>
      </c>
      <c r="F69" s="32">
        <f t="shared" si="15"/>
        <v>-0.1</v>
      </c>
      <c r="G69" s="33">
        <f t="shared" si="15"/>
        <v>-0.1</v>
      </c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31">
        <f t="shared" ref="C70:G70" si="16">$G$64*C60+$G$65</f>
        <v>-0.1</v>
      </c>
      <c r="D70" s="32">
        <f t="shared" si="16"/>
        <v>-0.1</v>
      </c>
      <c r="E70" s="32">
        <f t="shared" si="16"/>
        <v>-0.1</v>
      </c>
      <c r="F70" s="32">
        <f t="shared" si="16"/>
        <v>-0.1</v>
      </c>
      <c r="G70" s="33">
        <f t="shared" si="16"/>
        <v>-0.1</v>
      </c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34">
        <f t="shared" ref="C71:G71" si="17">$G$64*C61+$G$65</f>
        <v>-0.1</v>
      </c>
      <c r="D71" s="35">
        <f t="shared" si="17"/>
        <v>-0.1</v>
      </c>
      <c r="E71" s="35">
        <f t="shared" si="17"/>
        <v>-0.1</v>
      </c>
      <c r="F71" s="35">
        <f t="shared" si="17"/>
        <v>-0.1</v>
      </c>
      <c r="G71" s="36">
        <f t="shared" si="17"/>
        <v>-0.1</v>
      </c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3" t="s">
        <v>16</v>
      </c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C81" s="25"/>
      <c r="D81" s="25"/>
      <c r="E81" s="25"/>
      <c r="F81" s="25"/>
      <c r="G81" s="96" t="s">
        <v>1</v>
      </c>
      <c r="H81" s="8"/>
      <c r="I81" s="8"/>
      <c r="J81" s="8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C82" s="25"/>
      <c r="D82" s="25"/>
      <c r="E82" s="25"/>
      <c r="F82" s="25"/>
      <c r="G82" s="25"/>
      <c r="H82" s="25"/>
      <c r="I82" s="9" t="s">
        <v>17</v>
      </c>
      <c r="J82" s="97"/>
      <c r="K82" s="2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C83" s="79" t="s">
        <v>4</v>
      </c>
      <c r="D83" s="98">
        <f t="shared" ref="D83:H83" si="18">Rand()</f>
        <v>0.03158967372</v>
      </c>
      <c r="E83" s="99">
        <f t="shared" si="18"/>
        <v>0.754658129</v>
      </c>
      <c r="F83" s="100">
        <f t="shared" si="18"/>
        <v>0.9531290372</v>
      </c>
      <c r="G83" s="101">
        <f t="shared" si="18"/>
        <v>0.2570458257</v>
      </c>
      <c r="H83" s="102">
        <f t="shared" si="18"/>
        <v>0.4163469909</v>
      </c>
      <c r="I83" s="103" t="s">
        <v>18</v>
      </c>
      <c r="J83" s="81"/>
      <c r="K83" s="2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C84" s="25"/>
      <c r="D84" s="104">
        <f t="shared" ref="D84:H84" si="19">Rand()</f>
        <v>0.5491318636</v>
      </c>
      <c r="E84" s="105">
        <f t="shared" si="19"/>
        <v>0.7435448485</v>
      </c>
      <c r="F84" s="106">
        <f t="shared" si="19"/>
        <v>0.7917843823</v>
      </c>
      <c r="G84" s="107">
        <f t="shared" si="19"/>
        <v>0.2412617351</v>
      </c>
      <c r="H84" s="108">
        <f t="shared" si="19"/>
        <v>0.5240335534</v>
      </c>
      <c r="I84" s="16">
        <f t="shared" ref="I84:I87" si="21">SUMSQ(D84:H84)</f>
        <v>1.814145643</v>
      </c>
      <c r="J84" s="81"/>
      <c r="K84" s="2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C85" s="25"/>
      <c r="D85" s="109">
        <f t="shared" ref="D85:H85" si="20">Rand()</f>
        <v>0.6524469745</v>
      </c>
      <c r="E85" s="110">
        <f t="shared" si="20"/>
        <v>0.06418766623</v>
      </c>
      <c r="F85" s="111">
        <f t="shared" si="20"/>
        <v>0.4706819077</v>
      </c>
      <c r="G85" s="112">
        <f t="shared" si="20"/>
        <v>0.2092560317</v>
      </c>
      <c r="H85" s="113">
        <f t="shared" si="20"/>
        <v>0.4933698711</v>
      </c>
      <c r="I85" s="16">
        <f t="shared" si="21"/>
        <v>0.9385504856</v>
      </c>
      <c r="J85" s="81"/>
      <c r="K85" s="2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C86" s="25"/>
      <c r="D86" s="114">
        <f t="shared" ref="D86:H86" si="22">Rand()</f>
        <v>0.1961465743</v>
      </c>
      <c r="E86" s="115">
        <f t="shared" si="22"/>
        <v>0.2660027756</v>
      </c>
      <c r="F86" s="116">
        <f t="shared" si="22"/>
        <v>0.3267873394</v>
      </c>
      <c r="G86" s="117">
        <f t="shared" si="22"/>
        <v>0.5065901626</v>
      </c>
      <c r="H86" s="118">
        <f t="shared" si="22"/>
        <v>0.7849137616</v>
      </c>
      <c r="I86" s="16">
        <f t="shared" si="21"/>
        <v>1.088744126</v>
      </c>
      <c r="J86" s="81"/>
      <c r="K86" s="2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C87" s="25"/>
      <c r="D87" s="119">
        <f t="shared" ref="D87:H87" si="23">Rand()</f>
        <v>0.1074338561</v>
      </c>
      <c r="E87" s="120">
        <f t="shared" si="23"/>
        <v>0.896166112</v>
      </c>
      <c r="F87" s="121">
        <f t="shared" si="23"/>
        <v>0.08452055485</v>
      </c>
      <c r="G87" s="122">
        <f t="shared" si="23"/>
        <v>0.8620024535</v>
      </c>
      <c r="H87" s="123">
        <f t="shared" si="23"/>
        <v>0.2408324996</v>
      </c>
      <c r="I87" s="16">
        <f t="shared" si="21"/>
        <v>1.622847981</v>
      </c>
      <c r="J87" s="81"/>
      <c r="K87" s="2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J88" s="2"/>
      <c r="K88" s="2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J89" s="2"/>
      <c r="K89" s="2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2" t="s">
        <v>5</v>
      </c>
      <c r="G90" s="23" t="s">
        <v>6</v>
      </c>
      <c r="H90" s="24">
        <f>1E-16</f>
        <v>0</v>
      </c>
      <c r="J90" s="2"/>
      <c r="K90" s="2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11" t="s">
        <v>19</v>
      </c>
      <c r="D92" s="124" t="s">
        <v>20</v>
      </c>
      <c r="E92" s="29"/>
      <c r="F92" s="29"/>
      <c r="G92" s="29"/>
      <c r="H92" s="30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11" t="s">
        <v>8</v>
      </c>
      <c r="D93" s="31"/>
      <c r="E93" s="32"/>
      <c r="F93" s="32"/>
      <c r="G93" s="32"/>
      <c r="H93" s="33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31"/>
      <c r="E94" s="32"/>
      <c r="F94" s="32"/>
      <c r="G94" s="32"/>
      <c r="H94" s="33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31"/>
      <c r="E95" s="32"/>
      <c r="F95" s="32"/>
      <c r="G95" s="32"/>
      <c r="H95" s="33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34"/>
      <c r="E96" s="35"/>
      <c r="F96" s="35"/>
      <c r="G96" s="35"/>
      <c r="H96" s="36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C97" s="1"/>
      <c r="D97" s="2"/>
      <c r="E97" s="2"/>
      <c r="F97" s="2"/>
      <c r="G97" s="2"/>
      <c r="H97" s="2"/>
      <c r="I97" s="2"/>
      <c r="J97" s="2"/>
      <c r="K97" s="2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C98" s="1"/>
      <c r="D98" s="2"/>
      <c r="E98" s="2"/>
      <c r="F98" s="2"/>
      <c r="G98" s="2"/>
      <c r="H98" s="2"/>
      <c r="I98" s="2"/>
      <c r="J98" s="2"/>
      <c r="K98" s="2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37" t="s">
        <v>9</v>
      </c>
      <c r="F99" s="2"/>
      <c r="G99" s="23" t="s">
        <v>10</v>
      </c>
      <c r="H99" s="38">
        <v>0.5</v>
      </c>
      <c r="I99" s="2"/>
      <c r="J99" s="2"/>
      <c r="K99" s="2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F100" s="2"/>
      <c r="G100" s="23"/>
      <c r="H100" s="4"/>
      <c r="I100" s="2"/>
      <c r="J100" s="2"/>
      <c r="K100" s="2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C101" s="1"/>
      <c r="D101" s="2"/>
      <c r="E101" s="2"/>
      <c r="F101" s="2"/>
      <c r="G101" s="2"/>
      <c r="H101" s="2"/>
      <c r="I101" s="2"/>
      <c r="J101" s="2"/>
      <c r="K101" s="2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C102" s="23" t="s">
        <v>21</v>
      </c>
      <c r="D102" s="39" t="str">
        <f>RRAYFORMULA(H99*D92:H96)</f>
        <v>#NAME?</v>
      </c>
      <c r="E102" s="40"/>
      <c r="F102" s="40"/>
      <c r="G102" s="40"/>
      <c r="H102" s="41"/>
      <c r="I102" s="2"/>
      <c r="J102" s="2"/>
      <c r="K102" s="2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C103" s="1"/>
      <c r="D103" s="42"/>
      <c r="E103" s="43"/>
      <c r="F103" s="43"/>
      <c r="G103" s="43"/>
      <c r="H103" s="44"/>
      <c r="I103" s="2"/>
      <c r="J103" s="2"/>
      <c r="K103" s="2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C104" s="1"/>
      <c r="D104" s="42"/>
      <c r="E104" s="43"/>
      <c r="F104" s="43"/>
      <c r="G104" s="43"/>
      <c r="H104" s="44"/>
      <c r="I104" s="2"/>
      <c r="J104" s="2"/>
      <c r="K104" s="2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C105" s="1"/>
      <c r="D105" s="42"/>
      <c r="E105" s="43"/>
      <c r="F105" s="43"/>
      <c r="G105" s="43"/>
      <c r="H105" s="44"/>
      <c r="I105" s="2"/>
      <c r="J105" s="2"/>
      <c r="K105" s="2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C106" s="1"/>
      <c r="D106" s="45"/>
      <c r="E106" s="46"/>
      <c r="F106" s="46"/>
      <c r="G106" s="46"/>
      <c r="H106" s="47"/>
      <c r="I106" s="2"/>
      <c r="J106" s="2"/>
      <c r="K106" s="2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5"/>
      <c r="T107" s="6"/>
      <c r="U107" s="2"/>
      <c r="V107" s="2"/>
      <c r="W107" s="2"/>
      <c r="X107" s="2"/>
      <c r="Y107" s="2"/>
      <c r="Z107" s="2"/>
    </row>
    <row r="108">
      <c r="A108" s="3" t="s">
        <v>22</v>
      </c>
    </row>
    <row r="109"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5"/>
      <c r="T109" s="6"/>
      <c r="U109" s="2"/>
      <c r="V109" s="2"/>
      <c r="W109" s="2"/>
      <c r="X109" s="2"/>
      <c r="Y109" s="2"/>
      <c r="Z109" s="2"/>
    </row>
    <row r="110">
      <c r="B110" s="11" t="s">
        <v>4</v>
      </c>
      <c r="C110" s="12">
        <f t="shared" ref="C110:G110" si="24">Rand()</f>
        <v>0.379832768</v>
      </c>
      <c r="D110" s="13">
        <f t="shared" si="24"/>
        <v>0.7636247968</v>
      </c>
      <c r="E110" s="13">
        <f t="shared" si="24"/>
        <v>0.8509949576</v>
      </c>
      <c r="F110" s="13">
        <f t="shared" si="24"/>
        <v>0.367513244</v>
      </c>
      <c r="G110" s="14">
        <f t="shared" si="24"/>
        <v>0.9667783007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5"/>
      <c r="T110" s="6"/>
      <c r="U110" s="2"/>
      <c r="V110" s="2"/>
      <c r="W110" s="2"/>
      <c r="X110" s="2"/>
      <c r="Y110" s="2"/>
      <c r="Z110" s="2"/>
    </row>
    <row r="111">
      <c r="B111" s="1"/>
      <c r="C111" s="17">
        <f t="shared" ref="C111:G111" si="25">Rand()</f>
        <v>0.4586925667</v>
      </c>
      <c r="D111" s="16">
        <f t="shared" si="25"/>
        <v>0.6855412146</v>
      </c>
      <c r="E111" s="16">
        <f t="shared" si="25"/>
        <v>0.5539048882</v>
      </c>
      <c r="F111" s="16">
        <f t="shared" si="25"/>
        <v>0.8496065446</v>
      </c>
      <c r="G111" s="18">
        <f t="shared" si="25"/>
        <v>0.6949063437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5"/>
      <c r="T111" s="6"/>
      <c r="U111" s="2"/>
      <c r="V111" s="2"/>
      <c r="W111" s="2"/>
      <c r="X111" s="2"/>
      <c r="Y111" s="2"/>
      <c r="Z111" s="2"/>
    </row>
    <row r="112">
      <c r="B112" s="1"/>
      <c r="C112" s="17">
        <f t="shared" ref="C112:G112" si="26">Rand()</f>
        <v>0.4825006831</v>
      </c>
      <c r="D112" s="16">
        <f t="shared" si="26"/>
        <v>0.4826065553</v>
      </c>
      <c r="E112" s="16">
        <f t="shared" si="26"/>
        <v>0.9162155549</v>
      </c>
      <c r="F112" s="16">
        <f t="shared" si="26"/>
        <v>0.6214576881</v>
      </c>
      <c r="G112" s="18">
        <f t="shared" si="26"/>
        <v>0.8919634558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5"/>
      <c r="T112" s="6"/>
      <c r="U112" s="2"/>
      <c r="V112" s="2"/>
      <c r="W112" s="2"/>
      <c r="X112" s="2"/>
      <c r="Y112" s="2"/>
      <c r="Z112" s="2"/>
    </row>
    <row r="113">
      <c r="B113" s="1"/>
      <c r="C113" s="17">
        <f t="shared" ref="C113:G113" si="27">Rand()</f>
        <v>0.502597108</v>
      </c>
      <c r="D113" s="16">
        <f t="shared" si="27"/>
        <v>0.3870032494</v>
      </c>
      <c r="E113" s="16">
        <f t="shared" si="27"/>
        <v>0.2562449242</v>
      </c>
      <c r="F113" s="16">
        <f t="shared" si="27"/>
        <v>0.4316959442</v>
      </c>
      <c r="G113" s="18">
        <f t="shared" si="27"/>
        <v>0.1788768864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5"/>
      <c r="T113" s="6"/>
      <c r="U113" s="2"/>
      <c r="V113" s="2"/>
      <c r="W113" s="2"/>
      <c r="X113" s="2"/>
      <c r="Y113" s="2"/>
      <c r="Z113" s="2"/>
    </row>
    <row r="114">
      <c r="B114" s="1"/>
      <c r="C114" s="19">
        <f t="shared" ref="C114:G114" si="28">Rand()</f>
        <v>0.4905861138</v>
      </c>
      <c r="D114" s="20">
        <f t="shared" si="28"/>
        <v>0.2051213587</v>
      </c>
      <c r="E114" s="20">
        <f t="shared" si="28"/>
        <v>0.5347978153</v>
      </c>
      <c r="F114" s="20">
        <f t="shared" si="28"/>
        <v>0.6970440122</v>
      </c>
      <c r="G114" s="21">
        <f t="shared" si="28"/>
        <v>0.8127062426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5"/>
      <c r="T114" s="6"/>
      <c r="U114" s="2"/>
      <c r="V114" s="2"/>
      <c r="W114" s="2"/>
      <c r="X114" s="2"/>
      <c r="Y114" s="2"/>
      <c r="Z114" s="2"/>
    </row>
    <row r="115"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5"/>
      <c r="T115" s="6"/>
      <c r="U115" s="2"/>
      <c r="V115" s="2"/>
      <c r="W115" s="2"/>
      <c r="X115" s="2"/>
      <c r="Y115" s="2"/>
      <c r="Z115" s="2"/>
    </row>
    <row r="116">
      <c r="C116" s="125" t="s">
        <v>21</v>
      </c>
      <c r="D116" s="2"/>
      <c r="E116" s="2"/>
      <c r="F116" s="2"/>
      <c r="G116" s="2"/>
      <c r="H116" s="2"/>
      <c r="J116" s="11" t="s">
        <v>15</v>
      </c>
      <c r="K116" s="2"/>
      <c r="L116" s="2"/>
      <c r="M116" s="2"/>
      <c r="N116" s="2"/>
      <c r="O116" s="125" t="s">
        <v>12</v>
      </c>
      <c r="P116" s="2"/>
      <c r="Q116" s="2"/>
      <c r="R116" s="2"/>
      <c r="S116" s="5"/>
      <c r="T116" s="6"/>
      <c r="U116" s="2"/>
      <c r="V116" s="2"/>
      <c r="W116" s="2"/>
      <c r="X116" s="2"/>
      <c r="Y116" s="2"/>
      <c r="Z116" s="2"/>
    </row>
    <row r="117">
      <c r="C117" s="126">
        <f t="array" ref="C117:G121">LET(x,C110:G114,rms,SQRT(MMULT(x^2,SEQUENCE(5,1,1/5,0))),x/rms)</f>
        <v>0.5348893173</v>
      </c>
      <c r="D117" s="127">
        <v>1.0753541577552588</v>
      </c>
      <c r="E117" s="127">
        <v>1.1983908454736176</v>
      </c>
      <c r="F117" s="127">
        <v>0.5175406777611139</v>
      </c>
      <c r="G117" s="128">
        <v>1.3614396358047502</v>
      </c>
      <c r="H117" s="2"/>
      <c r="I117" s="12">
        <f t="array" ref="I117:M121">LET(x,C110:G114,mu,MMULT(SEQUENCE(1,5,1/5,0),x),c,x-mu,v,MMULT(SEQUENCE(1,5,1/5,0),c^2),c/SQRT(v))</f>
        <v>-1.890046872</v>
      </c>
      <c r="J117" s="13">
        <v>1.2819985459220682</v>
      </c>
      <c r="K117" s="13">
        <v>0.9573153810567797</v>
      </c>
      <c r="L117" s="13">
        <v>-1.28603495900477</v>
      </c>
      <c r="M117" s="14">
        <v>0.9205780147210756</v>
      </c>
      <c r="N117" s="2"/>
      <c r="O117" s="12">
        <f t="shared" ref="O117:S117" si="29">(C110-AVERAGE($C110:$G110))/STDEVP($C110:$G110)</f>
        <v>-1.157247526</v>
      </c>
      <c r="P117" s="13">
        <f t="shared" si="29"/>
        <v>0.3961538414</v>
      </c>
      <c r="Q117" s="13">
        <f t="shared" si="29"/>
        <v>0.7497852799</v>
      </c>
      <c r="R117" s="13">
        <f t="shared" si="29"/>
        <v>-1.2071109</v>
      </c>
      <c r="S117" s="14">
        <f t="shared" si="29"/>
        <v>1.218419306</v>
      </c>
      <c r="T117" s="6"/>
      <c r="U117" s="2"/>
      <c r="V117" s="2"/>
      <c r="W117" s="2"/>
      <c r="X117" s="2"/>
      <c r="Y117" s="2"/>
      <c r="Z117" s="2"/>
    </row>
    <row r="118">
      <c r="C118" s="129">
        <v>0.6927812136629165</v>
      </c>
      <c r="D118" s="130">
        <v>1.0353995446357878</v>
      </c>
      <c r="E118" s="130">
        <v>0.8365840839951745</v>
      </c>
      <c r="F118" s="130">
        <v>1.2831937901176313</v>
      </c>
      <c r="G118" s="131">
        <v>1.049544063092752</v>
      </c>
      <c r="H118" s="2"/>
      <c r="I118" s="17">
        <v>-0.09447564093376266</v>
      </c>
      <c r="J118" s="16">
        <v>0.8952694263391251</v>
      </c>
      <c r="K118" s="16">
        <v>-0.2870176163110133</v>
      </c>
      <c r="L118" s="16">
        <v>1.4578825994281257</v>
      </c>
      <c r="M118" s="18">
        <v>-0.05050548756166173</v>
      </c>
      <c r="N118" s="2"/>
      <c r="O118" s="17">
        <f t="shared" ref="O118:S118" si="30">(C111-AVERAGE($C111:$G111))/STDEVP($C111:$G111)</f>
        <v>-1.423337639</v>
      </c>
      <c r="P118" s="16">
        <f t="shared" si="30"/>
        <v>0.277494928</v>
      </c>
      <c r="Q118" s="16">
        <f t="shared" si="30"/>
        <v>-0.7094686396</v>
      </c>
      <c r="R118" s="16">
        <f t="shared" si="30"/>
        <v>1.50759993</v>
      </c>
      <c r="S118" s="18">
        <f t="shared" si="30"/>
        <v>0.3477114209</v>
      </c>
      <c r="T118" s="6"/>
      <c r="U118" s="2"/>
      <c r="V118" s="2"/>
      <c r="W118" s="2"/>
      <c r="X118" s="2"/>
      <c r="Y118" s="2"/>
      <c r="Z118" s="2"/>
    </row>
    <row r="119">
      <c r="C119" s="129">
        <v>0.6841434756239012</v>
      </c>
      <c r="D119" s="130">
        <v>0.6842935931042341</v>
      </c>
      <c r="E119" s="130">
        <v>1.2991129672163892</v>
      </c>
      <c r="F119" s="130">
        <v>0.8811722709363088</v>
      </c>
      <c r="G119" s="131">
        <v>1.2647256265850402</v>
      </c>
      <c r="H119" s="2"/>
      <c r="I119" s="17">
        <v>0.4476151287838237</v>
      </c>
      <c r="J119" s="16">
        <v>-0.10981691628643547</v>
      </c>
      <c r="K119" s="16">
        <v>1.2304855393570675</v>
      </c>
      <c r="L119" s="16">
        <v>0.1593338485365087</v>
      </c>
      <c r="M119" s="18">
        <v>0.6533512570089409</v>
      </c>
      <c r="N119" s="2"/>
      <c r="O119" s="17">
        <f t="shared" ref="O119:S119" si="31">(C112-AVERAGE($C112:$G112))/STDEVP($C112:$G112)</f>
        <v>-1.029333863</v>
      </c>
      <c r="P119" s="16">
        <f t="shared" si="31"/>
        <v>-1.028779122</v>
      </c>
      <c r="Q119" s="16">
        <f t="shared" si="31"/>
        <v>1.243212395</v>
      </c>
      <c r="R119" s="16">
        <f t="shared" si="31"/>
        <v>-0.3012374977</v>
      </c>
      <c r="S119" s="18">
        <f t="shared" si="31"/>
        <v>1.116138087</v>
      </c>
      <c r="T119" s="6"/>
      <c r="U119" s="2"/>
      <c r="V119" s="2"/>
      <c r="W119" s="2"/>
      <c r="X119" s="2"/>
      <c r="Y119" s="2"/>
      <c r="Z119" s="2"/>
    </row>
    <row r="120">
      <c r="C120" s="129">
        <v>1.3564940146737914</v>
      </c>
      <c r="D120" s="130">
        <v>1.0445097735643163</v>
      </c>
      <c r="E120" s="130">
        <v>0.691597107196186</v>
      </c>
      <c r="F120" s="130">
        <v>1.1651339715281452</v>
      </c>
      <c r="G120" s="131">
        <v>0.4827831716119766</v>
      </c>
      <c r="H120" s="2"/>
      <c r="I120" s="17">
        <v>0.9051938047322852</v>
      </c>
      <c r="J120" s="16">
        <v>-0.5833169951042386</v>
      </c>
      <c r="K120" s="16">
        <v>-1.5337375622857987</v>
      </c>
      <c r="L120" s="16">
        <v>-0.9207279988575711</v>
      </c>
      <c r="M120" s="18">
        <v>-1.8936808484646703</v>
      </c>
      <c r="N120" s="2"/>
      <c r="O120" s="17">
        <f t="shared" ref="O120:S120" si="32">(C113-AVERAGE($C113:$G113))/STDEVP($C113:$G113)</f>
        <v>1.284401851</v>
      </c>
      <c r="P120" s="16">
        <f t="shared" si="32"/>
        <v>0.3032007015</v>
      </c>
      <c r="Q120" s="16">
        <f t="shared" si="32"/>
        <v>-0.8067217507</v>
      </c>
      <c r="R120" s="16">
        <f t="shared" si="32"/>
        <v>0.6825679455</v>
      </c>
      <c r="S120" s="18">
        <f t="shared" si="32"/>
        <v>-1.463448747</v>
      </c>
      <c r="T120" s="6"/>
      <c r="U120" s="2"/>
      <c r="V120" s="2"/>
      <c r="W120" s="2"/>
      <c r="X120" s="2"/>
      <c r="Y120" s="2"/>
      <c r="Z120" s="2"/>
    </row>
    <row r="121">
      <c r="C121" s="132">
        <v>0.8376314931799153</v>
      </c>
      <c r="D121" s="133">
        <v>0.3502261990792443</v>
      </c>
      <c r="E121" s="133">
        <v>0.9131189814144747</v>
      </c>
      <c r="F121" s="133">
        <v>1.1901397130556866</v>
      </c>
      <c r="G121" s="134">
        <v>1.3876225280313128</v>
      </c>
      <c r="H121" s="2"/>
      <c r="I121" s="19">
        <v>0.6317135795863081</v>
      </c>
      <c r="J121" s="20">
        <v>-1.4841340608705187</v>
      </c>
      <c r="K121" s="20">
        <v>-0.3670457418170368</v>
      </c>
      <c r="L121" s="20">
        <v>0.5895465098977072</v>
      </c>
      <c r="M121" s="21">
        <v>0.3702570642963136</v>
      </c>
      <c r="N121" s="2"/>
      <c r="O121" s="19">
        <f t="shared" ref="O121:S121" si="33">(C114-AVERAGE($C114:$G114))/STDEVP($C114:$G114)</f>
        <v>-0.2782099595</v>
      </c>
      <c r="P121" s="20">
        <f t="shared" si="33"/>
        <v>-1.660253731</v>
      </c>
      <c r="Q121" s="20">
        <f t="shared" si="33"/>
        <v>-0.0641642481</v>
      </c>
      <c r="R121" s="20">
        <f t="shared" si="33"/>
        <v>0.7213314806</v>
      </c>
      <c r="S121" s="21">
        <f t="shared" si="33"/>
        <v>1.281296458</v>
      </c>
      <c r="T121" s="6"/>
      <c r="U121" s="2"/>
      <c r="V121" s="2"/>
      <c r="W121" s="2"/>
      <c r="X121" s="2"/>
      <c r="Y121" s="2"/>
      <c r="Z121" s="2"/>
    </row>
    <row r="122"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5"/>
      <c r="T122" s="6"/>
      <c r="U122" s="2"/>
      <c r="V122" s="2"/>
      <c r="W122" s="2"/>
      <c r="X122" s="2"/>
      <c r="Y122" s="2"/>
      <c r="Z122" s="2"/>
    </row>
    <row r="123"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5"/>
      <c r="T123" s="6"/>
      <c r="U123" s="2"/>
      <c r="V123" s="2"/>
      <c r="W123" s="2"/>
      <c r="X123" s="2"/>
      <c r="Y123" s="2"/>
      <c r="Z123" s="2"/>
    </row>
    <row r="124"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5"/>
      <c r="T124" s="6"/>
      <c r="U124" s="2"/>
      <c r="V124" s="2"/>
      <c r="W124" s="2"/>
      <c r="X124" s="2"/>
      <c r="Y124" s="2"/>
      <c r="Z124" s="2"/>
    </row>
    <row r="125">
      <c r="A125" s="135" t="s">
        <v>23</v>
      </c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23" t="s">
        <v>4</v>
      </c>
      <c r="C127" s="39">
        <f t="shared" ref="C127:G127" si="34">NORMINV(rand(),0, sqrt(2/5))</f>
        <v>-0.9561814811</v>
      </c>
      <c r="D127" s="40">
        <f t="shared" si="34"/>
        <v>-0.02793498819</v>
      </c>
      <c r="E127" s="40">
        <f t="shared" si="34"/>
        <v>-0.6978257029</v>
      </c>
      <c r="F127" s="40">
        <f t="shared" si="34"/>
        <v>-0.09062897014</v>
      </c>
      <c r="G127" s="41">
        <f t="shared" si="34"/>
        <v>-0.3902603198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42">
        <f t="shared" ref="C128:G128" si="35">NORMINV(rand(),0, sqrt(2/5))</f>
        <v>0.1108653299</v>
      </c>
      <c r="D128" s="43">
        <f t="shared" si="35"/>
        <v>0.6873160157</v>
      </c>
      <c r="E128" s="43">
        <f t="shared" si="35"/>
        <v>-0.3778802097</v>
      </c>
      <c r="F128" s="43">
        <f t="shared" si="35"/>
        <v>-0.9154349452</v>
      </c>
      <c r="G128" s="44">
        <f t="shared" si="35"/>
        <v>-0.1874601302</v>
      </c>
      <c r="H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42">
        <f t="shared" ref="C129:G129" si="36">NORMINV(rand(),0, sqrt(2/5))</f>
        <v>-0.1914871302</v>
      </c>
      <c r="D129" s="43">
        <f t="shared" si="36"/>
        <v>0.5406365504</v>
      </c>
      <c r="E129" s="43">
        <f t="shared" si="36"/>
        <v>-0.9718671598</v>
      </c>
      <c r="F129" s="43">
        <f t="shared" si="36"/>
        <v>-0.3209301273</v>
      </c>
      <c r="G129" s="44">
        <f t="shared" si="36"/>
        <v>-0.09732820541</v>
      </c>
      <c r="H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42">
        <f t="shared" ref="C130:G130" si="37">NORMINV(rand(),0, sqrt(2/5))</f>
        <v>-0.1027265154</v>
      </c>
      <c r="D130" s="43">
        <f t="shared" si="37"/>
        <v>0.6334820103</v>
      </c>
      <c r="E130" s="43">
        <f t="shared" si="37"/>
        <v>0.6293491883</v>
      </c>
      <c r="F130" s="43">
        <f t="shared" si="37"/>
        <v>-0.9457270857</v>
      </c>
      <c r="G130" s="44">
        <f t="shared" si="37"/>
        <v>-0.6687714177</v>
      </c>
      <c r="H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45">
        <f t="shared" ref="C131:G131" si="38">NORMINV(rand(),0, sqrt(2/5))</f>
        <v>-0.3357093212</v>
      </c>
      <c r="D131" s="46">
        <f t="shared" si="38"/>
        <v>-0.5982967965</v>
      </c>
      <c r="E131" s="46">
        <f t="shared" si="38"/>
        <v>0.4443711417</v>
      </c>
      <c r="F131" s="46">
        <f t="shared" si="38"/>
        <v>0.8936355947</v>
      </c>
      <c r="G131" s="47">
        <f t="shared" si="38"/>
        <v>-0.6049657305</v>
      </c>
      <c r="H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E132" s="4" t="s">
        <v>24</v>
      </c>
      <c r="H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23"/>
      <c r="C133" s="2"/>
      <c r="D133" s="2"/>
      <c r="E133" s="4" t="s">
        <v>24</v>
      </c>
      <c r="F133" s="2"/>
      <c r="G133" s="2"/>
      <c r="H133" s="2"/>
      <c r="I133" s="2"/>
      <c r="J133" s="2"/>
      <c r="K133" s="2"/>
      <c r="L133" s="2"/>
      <c r="S133" s="43"/>
      <c r="T133" s="43"/>
      <c r="U133" s="43"/>
      <c r="V133" s="43"/>
      <c r="W133" s="43"/>
      <c r="X133" s="2"/>
      <c r="Y133" s="2"/>
      <c r="Z133" s="2"/>
    </row>
    <row r="134">
      <c r="B134" s="23" t="s">
        <v>25</v>
      </c>
      <c r="C134" s="12">
        <f t="array" ref="C134:G143">MMULT(J134:N143,C127:G131)</f>
        <v>-0.4775880513</v>
      </c>
      <c r="D134" s="13">
        <v>1.0871901325646107</v>
      </c>
      <c r="E134" s="13">
        <v>-0.1964042599392265</v>
      </c>
      <c r="F134" s="13">
        <v>-1.6117813392068108</v>
      </c>
      <c r="G134" s="14">
        <v>-0.7459015591709957</v>
      </c>
      <c r="H134" s="2"/>
      <c r="I134" s="23" t="s">
        <v>26</v>
      </c>
      <c r="J134" s="39">
        <f t="shared" ref="J134:N134" si="39">NORMINV(rand(),0, sqrt(2/5))</f>
        <v>0.547563492</v>
      </c>
      <c r="K134" s="40">
        <f t="shared" si="39"/>
        <v>0.5264566791</v>
      </c>
      <c r="L134" s="40">
        <f t="shared" si="39"/>
        <v>0.05266412567</v>
      </c>
      <c r="M134" s="40">
        <f t="shared" si="39"/>
        <v>0.8771797509</v>
      </c>
      <c r="N134" s="41">
        <f t="shared" si="39"/>
        <v>-0.2615666052</v>
      </c>
      <c r="S134" s="43"/>
      <c r="T134" s="43"/>
      <c r="U134" s="43"/>
      <c r="V134" s="43"/>
      <c r="W134" s="43"/>
      <c r="X134" s="2"/>
      <c r="Y134" s="2"/>
      <c r="Z134" s="2"/>
    </row>
    <row r="135">
      <c r="C135" s="17">
        <v>-0.23901127010908546</v>
      </c>
      <c r="D135" s="16">
        <v>0.5409365603599737</v>
      </c>
      <c r="E135" s="16">
        <v>-0.12103741908080512</v>
      </c>
      <c r="F135" s="16">
        <v>-0.337812264882451</v>
      </c>
      <c r="G135" s="18">
        <v>-1.0333302336096601</v>
      </c>
      <c r="H135" s="2"/>
      <c r="I135" s="23" t="s">
        <v>27</v>
      </c>
      <c r="J135" s="42">
        <f t="shared" ref="J135:N135" si="40">NORMINV(rand(),0, sqrt(2/5))</f>
        <v>-0.22339554</v>
      </c>
      <c r="K135" s="43">
        <f t="shared" si="40"/>
        <v>0.7593622578</v>
      </c>
      <c r="L135" s="43">
        <f t="shared" si="40"/>
        <v>0.7316023407</v>
      </c>
      <c r="M135" s="43">
        <f t="shared" si="40"/>
        <v>0.397103772</v>
      </c>
      <c r="N135" s="44">
        <f t="shared" si="40"/>
        <v>1.060201054</v>
      </c>
      <c r="S135" s="43"/>
      <c r="T135" s="43"/>
      <c r="U135" s="43"/>
      <c r="V135" s="43"/>
      <c r="W135" s="43"/>
      <c r="X135" s="2"/>
      <c r="Y135" s="2"/>
      <c r="Z135" s="2"/>
    </row>
    <row r="136">
      <c r="C136" s="17">
        <v>0.995687212862041</v>
      </c>
      <c r="D136" s="16">
        <v>-0.11992379939572083</v>
      </c>
      <c r="E136" s="16">
        <v>0.45113172956100817</v>
      </c>
      <c r="F136" s="16">
        <v>0.2731974736434993</v>
      </c>
      <c r="G136" s="18">
        <v>0.5994243709221391</v>
      </c>
      <c r="H136" s="2"/>
      <c r="I136" s="1"/>
      <c r="J136" s="42">
        <f t="shared" ref="J136:N136" si="41">NORMINV(rand(),0, sqrt(2/5))</f>
        <v>-0.9497895358</v>
      </c>
      <c r="K136" s="43">
        <f t="shared" si="41"/>
        <v>0.2134292181</v>
      </c>
      <c r="L136" s="43">
        <f t="shared" si="41"/>
        <v>-0.1134119831</v>
      </c>
      <c r="M136" s="43">
        <f t="shared" si="41"/>
        <v>-0.3758832854</v>
      </c>
      <c r="N136" s="44">
        <f t="shared" si="41"/>
        <v>-0.01049727149</v>
      </c>
      <c r="S136" s="43"/>
      <c r="T136" s="43"/>
      <c r="U136" s="43"/>
      <c r="V136" s="43"/>
      <c r="W136" s="43"/>
      <c r="X136" s="2"/>
      <c r="Y136" s="2"/>
      <c r="Z136" s="2"/>
    </row>
    <row r="137">
      <c r="C137" s="17">
        <v>-0.29584595833513005</v>
      </c>
      <c r="D137" s="16">
        <v>-0.35364097458075644</v>
      </c>
      <c r="E137" s="16">
        <v>0.17148530772107945</v>
      </c>
      <c r="F137" s="16">
        <v>0.5940962193890965</v>
      </c>
      <c r="G137" s="18">
        <v>-0.3978946926250403</v>
      </c>
      <c r="I137" s="1"/>
      <c r="J137" s="42">
        <f t="shared" ref="J137:N137" si="42">NORMINV(rand(),0, sqrt(2/5))</f>
        <v>0.03215073254</v>
      </c>
      <c r="K137" s="43">
        <f t="shared" si="42"/>
        <v>-0.191601379</v>
      </c>
      <c r="L137" s="43">
        <f t="shared" si="42"/>
        <v>0.1878687815</v>
      </c>
      <c r="M137" s="43">
        <f t="shared" si="42"/>
        <v>0.05862857301</v>
      </c>
      <c r="N137" s="44">
        <f t="shared" si="42"/>
        <v>0.6013086251</v>
      </c>
      <c r="S137" s="43"/>
      <c r="T137" s="43"/>
      <c r="U137" s="43"/>
      <c r="V137" s="43"/>
      <c r="W137" s="43"/>
      <c r="X137" s="2"/>
      <c r="Y137" s="2"/>
      <c r="Z137" s="2"/>
    </row>
    <row r="138">
      <c r="C138" s="17">
        <v>0.871539867889695</v>
      </c>
      <c r="D138" s="16">
        <v>0.01621369297854447</v>
      </c>
      <c r="E138" s="16">
        <v>0.21470609963777793</v>
      </c>
      <c r="F138" s="16">
        <v>-0.03454551690548335</v>
      </c>
      <c r="G138" s="18">
        <v>0.6647563732994306</v>
      </c>
      <c r="I138" s="1"/>
      <c r="J138" s="42">
        <f t="shared" ref="J138:N138" si="43">NORMINV(rand(),0, sqrt(2/5))</f>
        <v>-0.6683931267</v>
      </c>
      <c r="K138" s="43">
        <f t="shared" si="43"/>
        <v>0.3871083771</v>
      </c>
      <c r="L138" s="43">
        <f t="shared" si="43"/>
        <v>-0.2910638803</v>
      </c>
      <c r="M138" s="43">
        <f t="shared" si="43"/>
        <v>-0.4281253007</v>
      </c>
      <c r="N138" s="44">
        <f t="shared" si="43"/>
        <v>-0.2675023512</v>
      </c>
      <c r="S138" s="43"/>
      <c r="T138" s="43"/>
      <c r="U138" s="43"/>
      <c r="V138" s="43"/>
      <c r="W138" s="43"/>
      <c r="X138" s="2"/>
      <c r="Y138" s="2"/>
      <c r="Z138" s="2"/>
    </row>
    <row r="139">
      <c r="C139" s="17">
        <v>-0.8566260834774082</v>
      </c>
      <c r="D139" s="16">
        <v>0.43181862272627775</v>
      </c>
      <c r="E139" s="16">
        <v>-0.08449291252375868</v>
      </c>
      <c r="F139" s="16">
        <v>-1.2997955753676922</v>
      </c>
      <c r="G139" s="18">
        <v>-0.40328161609236646</v>
      </c>
      <c r="H139" s="136" t="s">
        <v>28</v>
      </c>
      <c r="I139" s="136" t="s">
        <v>28</v>
      </c>
      <c r="J139" s="42">
        <f t="shared" ref="J139:N139" si="44">NORMINV(rand(),0, sqrt(2/5))</f>
        <v>1.364278121</v>
      </c>
      <c r="K139" s="43">
        <f t="shared" si="44"/>
        <v>0.444643367</v>
      </c>
      <c r="L139" s="43">
        <f t="shared" si="44"/>
        <v>-1.076706593</v>
      </c>
      <c r="M139" s="43">
        <f t="shared" si="44"/>
        <v>0.4941862318</v>
      </c>
      <c r="N139" s="44">
        <f t="shared" si="44"/>
        <v>-0.7243362518</v>
      </c>
      <c r="S139" s="43"/>
      <c r="T139" s="43"/>
      <c r="U139" s="43"/>
      <c r="V139" s="43"/>
      <c r="W139" s="43"/>
      <c r="X139" s="2"/>
      <c r="Y139" s="2"/>
      <c r="Z139" s="2"/>
    </row>
    <row r="140">
      <c r="C140" s="17">
        <v>-0.19306782103397363</v>
      </c>
      <c r="D140" s="16">
        <v>0.07055963066857407</v>
      </c>
      <c r="E140" s="16">
        <v>0.09797647989457309</v>
      </c>
      <c r="F140" s="16">
        <v>-0.3244724834629158</v>
      </c>
      <c r="G140" s="18">
        <v>-0.32374486105062683</v>
      </c>
      <c r="I140" s="1"/>
      <c r="J140" s="42">
        <f t="shared" ref="J140:N140" si="45">NORMINV(rand(),0, sqrt(2/5))</f>
        <v>0.3210570474</v>
      </c>
      <c r="K140" s="43">
        <f t="shared" si="45"/>
        <v>0.7228639171</v>
      </c>
      <c r="L140" s="43">
        <f t="shared" si="45"/>
        <v>-0.5280464951</v>
      </c>
      <c r="M140" s="43">
        <f t="shared" si="45"/>
        <v>-0.01448167982</v>
      </c>
      <c r="N140" s="44">
        <f t="shared" si="45"/>
        <v>0.2050027234</v>
      </c>
      <c r="S140" s="43"/>
      <c r="T140" s="43"/>
      <c r="U140" s="43"/>
      <c r="V140" s="43"/>
      <c r="W140" s="43"/>
      <c r="X140" s="2"/>
      <c r="Y140" s="2"/>
      <c r="Z140" s="2"/>
    </row>
    <row r="141">
      <c r="C141" s="17">
        <v>-0.3326618836924908</v>
      </c>
      <c r="D141" s="16">
        <v>-0.15337890675587906</v>
      </c>
      <c r="E141" s="16">
        <v>0.2792506410902633</v>
      </c>
      <c r="F141" s="16">
        <v>0.6294221266077358</v>
      </c>
      <c r="G141" s="18">
        <v>-0.8963755511609339</v>
      </c>
      <c r="I141" s="1"/>
      <c r="J141" s="42">
        <f t="shared" ref="J141:N141" si="46">NORMINV(rand(),0, sqrt(2/5))</f>
        <v>-0.2872850727</v>
      </c>
      <c r="K141" s="43">
        <f t="shared" si="46"/>
        <v>-0.2138648293</v>
      </c>
      <c r="L141" s="43">
        <f t="shared" si="46"/>
        <v>0.7930749917</v>
      </c>
      <c r="M141" s="43">
        <f t="shared" si="46"/>
        <v>0.3996574963</v>
      </c>
      <c r="N141" s="44">
        <f t="shared" si="46"/>
        <v>1.16389166</v>
      </c>
      <c r="S141" s="43"/>
      <c r="T141" s="43"/>
      <c r="U141" s="43"/>
      <c r="V141" s="43"/>
      <c r="W141" s="43"/>
      <c r="X141" s="2"/>
      <c r="Y141" s="2"/>
      <c r="Z141" s="2"/>
    </row>
    <row r="142">
      <c r="C142" s="17">
        <v>0.3336100587250931</v>
      </c>
      <c r="D142" s="16">
        <v>-1.142989957552556</v>
      </c>
      <c r="E142" s="16">
        <v>0.748755989912041</v>
      </c>
      <c r="F142" s="16">
        <v>1.5119082719311303</v>
      </c>
      <c r="G142" s="18">
        <v>0.35036659659172203</v>
      </c>
      <c r="I142" s="1"/>
      <c r="J142" s="42">
        <f t="shared" ref="J142:N142" si="47">NORMINV(rand(),0, sqrt(2/5))</f>
        <v>-0.4290114018</v>
      </c>
      <c r="K142" s="43">
        <f t="shared" si="47"/>
        <v>-0.4258825936</v>
      </c>
      <c r="L142" s="43">
        <f t="shared" si="47"/>
        <v>-0.4202558801</v>
      </c>
      <c r="M142" s="43">
        <f t="shared" si="47"/>
        <v>-0.5379403405</v>
      </c>
      <c r="N142" s="44">
        <f t="shared" si="47"/>
        <v>0.4918582929</v>
      </c>
      <c r="S142" s="43"/>
      <c r="T142" s="43"/>
      <c r="U142" s="43"/>
      <c r="V142" s="43"/>
      <c r="W142" s="43"/>
      <c r="X142" s="2"/>
      <c r="Y142" s="2"/>
      <c r="Z142" s="2"/>
    </row>
    <row r="143">
      <c r="C143" s="19">
        <v>0.7733970827738417</v>
      </c>
      <c r="D143" s="20">
        <v>1.4725011499111655</v>
      </c>
      <c r="E143" s="20">
        <v>-0.2381582290525106</v>
      </c>
      <c r="F143" s="20">
        <v>-2.0707943087102416</v>
      </c>
      <c r="G143" s="21">
        <v>0.2726924030777257</v>
      </c>
      <c r="I143" s="1"/>
      <c r="J143" s="45">
        <f t="shared" ref="J143:N143" si="48">NORMINV(rand(),0, sqrt(2/5))</f>
        <v>-0.3843434323</v>
      </c>
      <c r="K143" s="46">
        <f t="shared" si="48"/>
        <v>1.0769841</v>
      </c>
      <c r="L143" s="46">
        <f t="shared" si="48"/>
        <v>-0.08666765459</v>
      </c>
      <c r="M143" s="46">
        <f t="shared" si="48"/>
        <v>0.351941341</v>
      </c>
      <c r="N143" s="47">
        <f t="shared" si="48"/>
        <v>-0.9116600601</v>
      </c>
      <c r="X143" s="2"/>
      <c r="Y143" s="2"/>
      <c r="Z143" s="2"/>
    </row>
    <row r="144">
      <c r="E144" s="4" t="s">
        <v>24</v>
      </c>
      <c r="X144" s="2"/>
      <c r="Y144" s="2"/>
      <c r="Z144" s="2"/>
    </row>
    <row r="145">
      <c r="E145" s="4" t="s">
        <v>24</v>
      </c>
      <c r="X145" s="2"/>
      <c r="Y145" s="2"/>
      <c r="Z145" s="2"/>
    </row>
    <row r="146">
      <c r="B146" s="23" t="s">
        <v>29</v>
      </c>
      <c r="C146" s="12">
        <f t="shared" ref="C146:G146" si="49">Max(0,C134)</f>
        <v>0</v>
      </c>
      <c r="D146" s="13">
        <f t="shared" si="49"/>
        <v>1.087190133</v>
      </c>
      <c r="E146" s="13">
        <f t="shared" si="49"/>
        <v>0</v>
      </c>
      <c r="F146" s="13">
        <f t="shared" si="49"/>
        <v>0</v>
      </c>
      <c r="G146" s="14">
        <f t="shared" si="49"/>
        <v>0</v>
      </c>
      <c r="X146" s="2"/>
      <c r="Y146" s="2"/>
      <c r="Z146" s="2"/>
    </row>
    <row r="147">
      <c r="C147" s="17">
        <f t="shared" ref="C147:G147" si="50">Max(0,C135)</f>
        <v>0</v>
      </c>
      <c r="D147" s="16">
        <f t="shared" si="50"/>
        <v>0.5409365604</v>
      </c>
      <c r="E147" s="16">
        <f t="shared" si="50"/>
        <v>0</v>
      </c>
      <c r="F147" s="16">
        <f t="shared" si="50"/>
        <v>0</v>
      </c>
      <c r="G147" s="18">
        <f t="shared" si="50"/>
        <v>0</v>
      </c>
      <c r="X147" s="2"/>
      <c r="Y147" s="2"/>
      <c r="Z147" s="2"/>
    </row>
    <row r="148">
      <c r="C148" s="17">
        <f t="shared" ref="C148:G148" si="51">Max(0,C136)</f>
        <v>0.9956872129</v>
      </c>
      <c r="D148" s="16">
        <f t="shared" si="51"/>
        <v>0</v>
      </c>
      <c r="E148" s="16">
        <f t="shared" si="51"/>
        <v>0.4511317296</v>
      </c>
      <c r="F148" s="16">
        <f t="shared" si="51"/>
        <v>0.2731974736</v>
      </c>
      <c r="G148" s="18">
        <f t="shared" si="51"/>
        <v>0.5994243709</v>
      </c>
      <c r="X148" s="2"/>
      <c r="Y148" s="2"/>
      <c r="Z148" s="2"/>
    </row>
    <row r="149">
      <c r="C149" s="17">
        <f t="shared" ref="C149:G149" si="52">Max(0,C137)</f>
        <v>0</v>
      </c>
      <c r="D149" s="16">
        <f t="shared" si="52"/>
        <v>0</v>
      </c>
      <c r="E149" s="16">
        <f t="shared" si="52"/>
        <v>0.1714853077</v>
      </c>
      <c r="F149" s="16">
        <f t="shared" si="52"/>
        <v>0.5940962194</v>
      </c>
      <c r="G149" s="18">
        <f t="shared" si="52"/>
        <v>0</v>
      </c>
      <c r="X149" s="2"/>
      <c r="Y149" s="2"/>
      <c r="Z149" s="2"/>
    </row>
    <row r="150">
      <c r="C150" s="17">
        <f t="shared" ref="C150:G150" si="53">Max(0,C138)</f>
        <v>0.8715398679</v>
      </c>
      <c r="D150" s="16">
        <f t="shared" si="53"/>
        <v>0.01621369298</v>
      </c>
      <c r="E150" s="16">
        <f t="shared" si="53"/>
        <v>0.2147060996</v>
      </c>
      <c r="F150" s="16">
        <f t="shared" si="53"/>
        <v>0</v>
      </c>
      <c r="G150" s="18">
        <f t="shared" si="53"/>
        <v>0.6647563733</v>
      </c>
      <c r="X150" s="2"/>
      <c r="Y150" s="2"/>
      <c r="Z150" s="2"/>
    </row>
    <row r="151">
      <c r="C151" s="17">
        <f t="shared" ref="C151:G151" si="54">Max(0,C139)</f>
        <v>0</v>
      </c>
      <c r="D151" s="16">
        <f t="shared" si="54"/>
        <v>0.4318186227</v>
      </c>
      <c r="E151" s="16">
        <f t="shared" si="54"/>
        <v>0</v>
      </c>
      <c r="F151" s="16">
        <f t="shared" si="54"/>
        <v>0</v>
      </c>
      <c r="G151" s="18">
        <f t="shared" si="54"/>
        <v>0</v>
      </c>
      <c r="X151" s="2"/>
      <c r="Y151" s="2"/>
      <c r="Z151" s="2"/>
    </row>
    <row r="152">
      <c r="C152" s="17">
        <f t="shared" ref="C152:G152" si="55">Max(0,C140)</f>
        <v>0</v>
      </c>
      <c r="D152" s="16">
        <f t="shared" si="55"/>
        <v>0.07055963067</v>
      </c>
      <c r="E152" s="16">
        <f t="shared" si="55"/>
        <v>0.09797647989</v>
      </c>
      <c r="F152" s="16">
        <f t="shared" si="55"/>
        <v>0</v>
      </c>
      <c r="G152" s="18">
        <f t="shared" si="55"/>
        <v>0</v>
      </c>
      <c r="X152" s="2"/>
      <c r="Y152" s="2"/>
      <c r="Z152" s="2"/>
    </row>
    <row r="153">
      <c r="C153" s="17">
        <f t="shared" ref="C153:G153" si="56">Max(0,C141)</f>
        <v>0</v>
      </c>
      <c r="D153" s="16">
        <f t="shared" si="56"/>
        <v>0</v>
      </c>
      <c r="E153" s="16">
        <f t="shared" si="56"/>
        <v>0.2792506411</v>
      </c>
      <c r="F153" s="16">
        <f t="shared" si="56"/>
        <v>0.6294221266</v>
      </c>
      <c r="G153" s="18">
        <f t="shared" si="56"/>
        <v>0</v>
      </c>
      <c r="X153" s="2"/>
      <c r="Y153" s="2"/>
      <c r="Z153" s="2"/>
    </row>
    <row r="154">
      <c r="C154" s="17">
        <f t="shared" ref="C154:G154" si="57">Max(0,C142)</f>
        <v>0.3336100587</v>
      </c>
      <c r="D154" s="16">
        <f t="shared" si="57"/>
        <v>0</v>
      </c>
      <c r="E154" s="16">
        <f t="shared" si="57"/>
        <v>0.7487559899</v>
      </c>
      <c r="F154" s="16">
        <f t="shared" si="57"/>
        <v>1.511908272</v>
      </c>
      <c r="G154" s="18">
        <f t="shared" si="57"/>
        <v>0.3503665966</v>
      </c>
      <c r="X154" s="2"/>
      <c r="Y154" s="2"/>
      <c r="Z154" s="2"/>
    </row>
    <row r="155">
      <c r="C155" s="19">
        <f t="shared" ref="C155:G155" si="58">Max(0,C143)</f>
        <v>0.7733970828</v>
      </c>
      <c r="D155" s="20">
        <f t="shared" si="58"/>
        <v>1.47250115</v>
      </c>
      <c r="E155" s="20">
        <f t="shared" si="58"/>
        <v>0</v>
      </c>
      <c r="F155" s="20">
        <f t="shared" si="58"/>
        <v>0</v>
      </c>
      <c r="G155" s="21">
        <f t="shared" si="58"/>
        <v>0.2726924031</v>
      </c>
      <c r="X155" s="2"/>
      <c r="Y155" s="2"/>
      <c r="Z155" s="2"/>
    </row>
    <row r="156">
      <c r="E156" s="4" t="s">
        <v>24</v>
      </c>
      <c r="X156" s="2"/>
      <c r="Y156" s="2"/>
      <c r="Z156" s="2"/>
    </row>
    <row r="157">
      <c r="E157" s="4" t="s">
        <v>24</v>
      </c>
      <c r="X157" s="2"/>
      <c r="Y157" s="2"/>
      <c r="Z157" s="2"/>
    </row>
    <row r="158">
      <c r="B158" s="23" t="s">
        <v>25</v>
      </c>
      <c r="C158" s="12">
        <f t="array" ref="C158:G162">MMULT(J158:S162,C146:G155)</f>
        <v>0.8792067529</v>
      </c>
      <c r="D158" s="13">
        <v>2.0110315933965035</v>
      </c>
      <c r="E158" s="13">
        <v>0.5263133463601157</v>
      </c>
      <c r="F158" s="13">
        <v>1.0018475378336853</v>
      </c>
      <c r="G158" s="14">
        <v>0.5541823344615202</v>
      </c>
      <c r="I158" s="23" t="s">
        <v>30</v>
      </c>
      <c r="J158" s="39">
        <f t="shared" ref="J158:S158" si="59">NORMINV(rand(),0, sqrt(2/5))</f>
        <v>0.7568260689</v>
      </c>
      <c r="K158" s="40">
        <f t="shared" si="59"/>
        <v>0.4257083905</v>
      </c>
      <c r="L158" s="40">
        <f t="shared" si="59"/>
        <v>-0.143244609</v>
      </c>
      <c r="M158" s="40">
        <f t="shared" si="59"/>
        <v>-0.1557729329</v>
      </c>
      <c r="N158" s="40">
        <f t="shared" si="59"/>
        <v>0.3309808438</v>
      </c>
      <c r="O158" s="40">
        <f t="shared" si="59"/>
        <v>0.01014134198</v>
      </c>
      <c r="P158" s="40">
        <f t="shared" si="59"/>
        <v>-0.1062533006</v>
      </c>
      <c r="Q158" s="40">
        <f t="shared" si="59"/>
        <v>0.1346472198</v>
      </c>
      <c r="R158" s="40">
        <f t="shared" si="59"/>
        <v>0.6936768544</v>
      </c>
      <c r="S158" s="41">
        <f t="shared" si="59"/>
        <v>0.649023655</v>
      </c>
      <c r="X158" s="2"/>
      <c r="Y158" s="2"/>
      <c r="Z158" s="2"/>
    </row>
    <row r="159">
      <c r="B159" s="23" t="s">
        <v>31</v>
      </c>
      <c r="C159" s="17">
        <v>1.093562152478057</v>
      </c>
      <c r="D159" s="16">
        <v>0.8599668220327966</v>
      </c>
      <c r="E159" s="16">
        <v>1.0100793187554162</v>
      </c>
      <c r="F159" s="16">
        <v>2.0880030992166843</v>
      </c>
      <c r="G159" s="18">
        <v>0.6862144980732968</v>
      </c>
      <c r="H159" s="2"/>
      <c r="I159" s="23" t="s">
        <v>32</v>
      </c>
      <c r="J159" s="42">
        <f t="shared" ref="J159:S159" si="60">NORMINV(rand(),0, sqrt(2/5))</f>
        <v>-0.3794214209</v>
      </c>
      <c r="K159" s="43">
        <f t="shared" si="60"/>
        <v>1.162472064</v>
      </c>
      <c r="L159" s="43">
        <f t="shared" si="60"/>
        <v>0.4446892971</v>
      </c>
      <c r="M159" s="43">
        <f t="shared" si="60"/>
        <v>-0.1794614881</v>
      </c>
      <c r="N159" s="43">
        <f t="shared" si="60"/>
        <v>-0.2730018991</v>
      </c>
      <c r="O159" s="43">
        <f t="shared" si="60"/>
        <v>-0.4031975175</v>
      </c>
      <c r="P159" s="43">
        <f t="shared" si="60"/>
        <v>-1.197593176</v>
      </c>
      <c r="Q159" s="43">
        <f t="shared" si="60"/>
        <v>0.3235644716</v>
      </c>
      <c r="R159" s="43">
        <f t="shared" si="60"/>
        <v>1.236499525</v>
      </c>
      <c r="S159" s="44">
        <f t="shared" si="60"/>
        <v>0.6157432916</v>
      </c>
      <c r="T159" s="2"/>
      <c r="U159" s="2"/>
      <c r="V159" s="2"/>
      <c r="W159" s="2"/>
      <c r="X159" s="2"/>
      <c r="Y159" s="2"/>
      <c r="Z159" s="2"/>
    </row>
    <row r="160">
      <c r="B160" s="1"/>
      <c r="C160" s="17">
        <v>-1.4341007810317294</v>
      </c>
      <c r="D160" s="16">
        <v>0.8949097725980286</v>
      </c>
      <c r="E160" s="16">
        <v>-0.14159644494001497</v>
      </c>
      <c r="F160" s="16">
        <v>0.6449320863050679</v>
      </c>
      <c r="G160" s="18">
        <v>-0.9817482963791859</v>
      </c>
      <c r="H160" s="2"/>
      <c r="I160" s="1"/>
      <c r="J160" s="42">
        <f t="shared" ref="J160:S160" si="61">NORMINV(rand(),0, sqrt(2/5))</f>
        <v>0.1745951018</v>
      </c>
      <c r="K160" s="43">
        <f t="shared" si="61"/>
        <v>0.9404924517</v>
      </c>
      <c r="L160" s="43">
        <f t="shared" si="61"/>
        <v>-0.1643376487</v>
      </c>
      <c r="M160" s="43">
        <f t="shared" si="61"/>
        <v>-0.1141112665</v>
      </c>
      <c r="N160" s="43">
        <f t="shared" si="61"/>
        <v>-1.423364274</v>
      </c>
      <c r="O160" s="43">
        <f t="shared" si="61"/>
        <v>1.276652217</v>
      </c>
      <c r="P160" s="43">
        <f t="shared" si="61"/>
        <v>-1.051714334</v>
      </c>
      <c r="Q160" s="43">
        <f t="shared" si="61"/>
        <v>0.444980238</v>
      </c>
      <c r="R160" s="43">
        <f t="shared" si="61"/>
        <v>0.3158534085</v>
      </c>
      <c r="S160" s="44">
        <f t="shared" si="61"/>
        <v>-0.1749748629</v>
      </c>
      <c r="T160" s="2"/>
      <c r="U160" s="2"/>
      <c r="V160" s="2"/>
      <c r="W160" s="2"/>
      <c r="X160" s="2"/>
      <c r="Y160" s="2"/>
      <c r="Z160" s="2"/>
    </row>
    <row r="161">
      <c r="B161" s="1"/>
      <c r="C161" s="17">
        <v>-0.1040199571210777</v>
      </c>
      <c r="D161" s="16">
        <v>2.961673082786879</v>
      </c>
      <c r="E161" s="16">
        <v>-1.2909121904128689</v>
      </c>
      <c r="F161" s="16">
        <v>-2.563240035389098</v>
      </c>
      <c r="G161" s="18">
        <v>-0.5383029535417666</v>
      </c>
      <c r="H161" s="136" t="s">
        <v>28</v>
      </c>
      <c r="I161" s="136" t="s">
        <v>28</v>
      </c>
      <c r="J161" s="42">
        <f t="shared" ref="J161:S161" si="62">NORMINV(rand(),0, sqrt(2/5))</f>
        <v>0.4641823717</v>
      </c>
      <c r="K161" s="43">
        <f t="shared" si="62"/>
        <v>0.2238558758</v>
      </c>
      <c r="L161" s="43">
        <f t="shared" si="62"/>
        <v>-0.4141883273</v>
      </c>
      <c r="M161" s="43">
        <f t="shared" si="62"/>
        <v>-0.7622924416</v>
      </c>
      <c r="N161" s="43">
        <f t="shared" si="62"/>
        <v>-0.2453565966</v>
      </c>
      <c r="O161" s="43">
        <f t="shared" si="62"/>
        <v>1.034138975</v>
      </c>
      <c r="P161" s="43">
        <f t="shared" si="62"/>
        <v>0.7108739742</v>
      </c>
      <c r="Q161" s="43">
        <f t="shared" si="62"/>
        <v>0.0372685041</v>
      </c>
      <c r="R161" s="43">
        <f t="shared" si="62"/>
        <v>-1.336501315</v>
      </c>
      <c r="S161" s="44">
        <f t="shared" si="62"/>
        <v>1.251737851</v>
      </c>
      <c r="T161" s="2"/>
      <c r="U161" s="2"/>
      <c r="V161" s="2"/>
      <c r="W161" s="2"/>
      <c r="X161" s="2"/>
      <c r="Y161" s="2"/>
      <c r="Z161" s="2"/>
    </row>
    <row r="162">
      <c r="B162" s="1"/>
      <c r="C162" s="19">
        <v>1.0895508930662177</v>
      </c>
      <c r="D162" s="20">
        <v>-1.7303285136516533</v>
      </c>
      <c r="E162" s="20">
        <v>0.8120105062746276</v>
      </c>
      <c r="F162" s="20">
        <v>1.341263160021044</v>
      </c>
      <c r="G162" s="21">
        <v>0.9648619933786172</v>
      </c>
      <c r="H162" s="2"/>
      <c r="I162" s="1"/>
      <c r="J162" s="45">
        <f t="shared" ref="J162:S162" si="63">NORMINV(rand(),0, sqrt(2/5))</f>
        <v>-0.4609961698</v>
      </c>
      <c r="K162" s="46">
        <f t="shared" si="63"/>
        <v>-1.134048934</v>
      </c>
      <c r="L162" s="46">
        <f t="shared" si="63"/>
        <v>0.1337042097</v>
      </c>
      <c r="M162" s="46">
        <f t="shared" si="63"/>
        <v>0.5267527745</v>
      </c>
      <c r="N162" s="46">
        <f t="shared" si="63"/>
        <v>1.252041373</v>
      </c>
      <c r="O162" s="46">
        <f t="shared" si="63"/>
        <v>-0.111919922</v>
      </c>
      <c r="P162" s="46">
        <f t="shared" si="63"/>
        <v>-0.8263620265</v>
      </c>
      <c r="Q162" s="46">
        <f t="shared" si="63"/>
        <v>0.544295619</v>
      </c>
      <c r="R162" s="46">
        <f t="shared" si="63"/>
        <v>0.4293924319</v>
      </c>
      <c r="S162" s="47">
        <f t="shared" si="63"/>
        <v>-0.3594922868</v>
      </c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4" t="s">
        <v>24</v>
      </c>
      <c r="F163" s="2"/>
      <c r="G163" s="2"/>
      <c r="H163" s="2"/>
      <c r="I163" s="1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4" t="s">
        <v>24</v>
      </c>
      <c r="F164" s="2"/>
      <c r="G164" s="2"/>
      <c r="H164" s="2"/>
      <c r="I164" s="1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23" t="s">
        <v>33</v>
      </c>
      <c r="C165" s="12">
        <f t="array" ref="C165:G169">C158:G162+C127:G131</f>
        <v>-0.07697472813</v>
      </c>
      <c r="D165" s="13">
        <v>1.983096605209323</v>
      </c>
      <c r="E165" s="13">
        <v>-0.17151235653477037</v>
      </c>
      <c r="F165" s="13">
        <v>0.9112185676897603</v>
      </c>
      <c r="G165" s="14">
        <v>0.16392201465077672</v>
      </c>
      <c r="H165" s="2"/>
      <c r="I165" s="1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23"/>
      <c r="C166" s="17">
        <v>1.2044274824116925</v>
      </c>
      <c r="D166" s="16">
        <v>1.5472828376999477</v>
      </c>
      <c r="E166" s="16">
        <v>0.6321991090188942</v>
      </c>
      <c r="F166" s="16">
        <v>1.172568154050118</v>
      </c>
      <c r="G166" s="18">
        <v>0.49875436783080596</v>
      </c>
      <c r="H166" s="2"/>
      <c r="I166" s="1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17">
        <v>-1.6255879112288665</v>
      </c>
      <c r="D167" s="16">
        <v>1.4355463229512253</v>
      </c>
      <c r="E167" s="16">
        <v>-1.113463604751359</v>
      </c>
      <c r="F167" s="16">
        <v>0.32400195897443257</v>
      </c>
      <c r="G167" s="18">
        <v>-1.0790765017877733</v>
      </c>
      <c r="H167" s="2"/>
      <c r="I167" s="1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17">
        <v>-0.20674647248765102</v>
      </c>
      <c r="D168" s="16">
        <v>3.5951550931041325</v>
      </c>
      <c r="E168" s="16">
        <v>-0.6615630020660612</v>
      </c>
      <c r="F168" s="16">
        <v>-3.5089671210404028</v>
      </c>
      <c r="G168" s="18">
        <v>-1.207074371259381</v>
      </c>
      <c r="H168" s="2"/>
      <c r="I168" s="1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23"/>
      <c r="C169" s="19">
        <v>0.7538415718872793</v>
      </c>
      <c r="D169" s="20">
        <v>-2.3286253101446692</v>
      </c>
      <c r="E169" s="20">
        <v>1.2563816479423742</v>
      </c>
      <c r="F169" s="20">
        <v>2.234898754699682</v>
      </c>
      <c r="G169" s="21">
        <v>0.3598962628531036</v>
      </c>
      <c r="H169" s="2"/>
      <c r="I169" s="137" t="s">
        <v>34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1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5" t="s">
        <v>35</v>
      </c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13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13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23" t="s">
        <v>4</v>
      </c>
      <c r="C174" s="39">
        <f t="shared" ref="C174:E174" si="64">NORMINV(rand(),0, sqrt(2/5))</f>
        <v>0.8909877265</v>
      </c>
      <c r="D174" s="40">
        <f t="shared" si="64"/>
        <v>0.8944965112</v>
      </c>
      <c r="E174" s="41">
        <f t="shared" si="64"/>
        <v>0.3284112387</v>
      </c>
      <c r="F174" s="43"/>
      <c r="G174" s="43"/>
      <c r="W174" s="43"/>
      <c r="X174" s="43"/>
      <c r="Y174" s="43"/>
      <c r="Z174" s="43"/>
    </row>
    <row r="175">
      <c r="B175" s="1"/>
      <c r="C175" s="42">
        <f t="shared" ref="C175:E175" si="65">NORMINV(rand(),0, sqrt(2/5))</f>
        <v>-0.4473890577</v>
      </c>
      <c r="D175" s="43">
        <f t="shared" si="65"/>
        <v>-0.5164359214</v>
      </c>
      <c r="E175" s="44">
        <f t="shared" si="65"/>
        <v>0.5679779069</v>
      </c>
      <c r="F175" s="43"/>
      <c r="G175" s="43"/>
      <c r="W175" s="43"/>
      <c r="X175" s="43"/>
      <c r="Y175" s="43"/>
      <c r="Z175" s="43"/>
    </row>
    <row r="176">
      <c r="B176" s="1"/>
      <c r="C176" s="45">
        <f t="shared" ref="C176:E176" si="66">NORMINV(rand(),0, sqrt(2/5))</f>
        <v>0.01530614145</v>
      </c>
      <c r="D176" s="46">
        <f t="shared" si="66"/>
        <v>-0.6671900032</v>
      </c>
      <c r="E176" s="47">
        <f t="shared" si="66"/>
        <v>0.3560751189</v>
      </c>
      <c r="F176" s="43"/>
      <c r="G176" s="43"/>
      <c r="W176" s="43"/>
      <c r="X176" s="43"/>
      <c r="Y176" s="43"/>
      <c r="Z176" s="43"/>
    </row>
    <row r="177">
      <c r="D177" s="4" t="s">
        <v>24</v>
      </c>
      <c r="U177" s="43"/>
      <c r="V177" s="43"/>
      <c r="W177" s="43"/>
      <c r="X177" s="43"/>
      <c r="Y177" s="43"/>
      <c r="Z177" s="43"/>
    </row>
    <row r="178">
      <c r="C178" s="16"/>
      <c r="D178" s="4" t="s">
        <v>24</v>
      </c>
      <c r="E178" s="16"/>
      <c r="F178" s="16"/>
      <c r="G178" s="16"/>
      <c r="U178" s="43"/>
      <c r="V178" s="43"/>
      <c r="W178" s="43"/>
      <c r="X178" s="43"/>
      <c r="Y178" s="43"/>
      <c r="Z178" s="43"/>
    </row>
    <row r="179">
      <c r="B179" s="23" t="s">
        <v>36</v>
      </c>
      <c r="C179" s="12">
        <f t="array" ref="C179:E181">MMULT(O179:T181 ,MMULT(I179:K184,C174:E176))+C174:E176</f>
        <v>1.367664213</v>
      </c>
      <c r="D179" s="13">
        <v>0.8360063176549314</v>
      </c>
      <c r="E179" s="14">
        <v>0.9033378049946739</v>
      </c>
      <c r="F179" s="53" t="s">
        <v>28</v>
      </c>
      <c r="G179" s="53" t="s">
        <v>28</v>
      </c>
      <c r="H179" s="23" t="s">
        <v>26</v>
      </c>
      <c r="I179" s="39">
        <f t="shared" ref="I179:K179" si="67">NORMINV(rand(),0, sqrt(2/5))</f>
        <v>-0.227720371</v>
      </c>
      <c r="J179" s="40">
        <f t="shared" si="67"/>
        <v>0.7983875028</v>
      </c>
      <c r="K179" s="41">
        <f t="shared" si="67"/>
        <v>-0.5307386711</v>
      </c>
      <c r="N179" s="23" t="s">
        <v>30</v>
      </c>
      <c r="O179" s="39">
        <f t="shared" ref="O179:T179" si="68">NORMINV(rand(),0, sqrt(2/5))</f>
        <v>-0.1191070132</v>
      </c>
      <c r="P179" s="40">
        <f t="shared" si="68"/>
        <v>0.4104336692</v>
      </c>
      <c r="Q179" s="40">
        <f t="shared" si="68"/>
        <v>0.02365374043</v>
      </c>
      <c r="R179" s="40">
        <f t="shared" si="68"/>
        <v>0.9105129688</v>
      </c>
      <c r="S179" s="40">
        <f t="shared" si="68"/>
        <v>-0.6645087867</v>
      </c>
      <c r="T179" s="41">
        <f t="shared" si="68"/>
        <v>0.1980470578</v>
      </c>
      <c r="U179" s="2"/>
      <c r="V179" s="2"/>
      <c r="W179" s="2"/>
      <c r="X179" s="2"/>
      <c r="Y179" s="2"/>
      <c r="Z179" s="2"/>
    </row>
    <row r="180">
      <c r="B180" s="23" t="s">
        <v>37</v>
      </c>
      <c r="C180" s="17">
        <v>-1.8254073271283096</v>
      </c>
      <c r="D180" s="16">
        <v>-2.1668890860674366</v>
      </c>
      <c r="E180" s="18">
        <v>0.6671289125874942</v>
      </c>
      <c r="F180" s="16"/>
      <c r="G180" s="16"/>
      <c r="H180" s="23" t="s">
        <v>27</v>
      </c>
      <c r="I180" s="42">
        <f t="shared" ref="I180:K180" si="69">NORMINV(rand(),0, sqrt(2/5))</f>
        <v>-0.8287745576</v>
      </c>
      <c r="J180" s="43">
        <f t="shared" si="69"/>
        <v>-0.2586794052</v>
      </c>
      <c r="K180" s="44">
        <f t="shared" si="69"/>
        <v>0.5787942479</v>
      </c>
      <c r="N180" s="23" t="s">
        <v>32</v>
      </c>
      <c r="O180" s="42">
        <f t="shared" ref="O180:T180" si="70">NORMINV(rand(),0, sqrt(2/5))</f>
        <v>0.3769901435</v>
      </c>
      <c r="P180" s="43">
        <f t="shared" si="70"/>
        <v>-0.05050433063</v>
      </c>
      <c r="Q180" s="43">
        <f t="shared" si="70"/>
        <v>-1.319568325</v>
      </c>
      <c r="R180" s="43">
        <f t="shared" si="70"/>
        <v>0.4199605972</v>
      </c>
      <c r="S180" s="43">
        <f t="shared" si="70"/>
        <v>1.053941104</v>
      </c>
      <c r="T180" s="44">
        <f t="shared" si="70"/>
        <v>-0.4008984024</v>
      </c>
      <c r="U180" s="43"/>
      <c r="V180" s="43"/>
      <c r="W180" s="43"/>
      <c r="X180" s="2"/>
      <c r="Y180" s="2"/>
      <c r="Z180" s="2"/>
    </row>
    <row r="181">
      <c r="B181" s="139" t="s">
        <v>38</v>
      </c>
      <c r="C181" s="19">
        <v>-1.126723885253223</v>
      </c>
      <c r="D181" s="20">
        <v>-2.4811316765333347</v>
      </c>
      <c r="E181" s="21">
        <v>0.8190189547937563</v>
      </c>
      <c r="F181" s="53"/>
      <c r="G181" s="53"/>
      <c r="H181" s="140"/>
      <c r="I181" s="42">
        <f t="shared" ref="I181:K181" si="71">NORMINV(rand(),0, sqrt(2/5))</f>
        <v>0.5749046093</v>
      </c>
      <c r="J181" s="43">
        <f t="shared" si="71"/>
        <v>-0.4553416378</v>
      </c>
      <c r="K181" s="44">
        <f t="shared" si="71"/>
        <v>-0.493803143</v>
      </c>
      <c r="N181" s="1"/>
      <c r="O181" s="45">
        <f t="shared" ref="O181:T181" si="72">NORMINV(rand(),0, sqrt(2/5))</f>
        <v>0.1211819303</v>
      </c>
      <c r="P181" s="46">
        <f t="shared" si="72"/>
        <v>0.521566817</v>
      </c>
      <c r="Q181" s="46">
        <f t="shared" si="72"/>
        <v>-1.340399191</v>
      </c>
      <c r="R181" s="46">
        <f t="shared" si="72"/>
        <v>0.5158977978</v>
      </c>
      <c r="S181" s="46">
        <f t="shared" si="72"/>
        <v>-0.05221707052</v>
      </c>
      <c r="T181" s="47">
        <f t="shared" si="72"/>
        <v>0.3106891318</v>
      </c>
      <c r="U181" s="43"/>
      <c r="V181" s="43"/>
      <c r="W181" s="43"/>
      <c r="X181" s="2"/>
      <c r="Y181" s="2"/>
      <c r="Z181" s="2"/>
    </row>
    <row r="182">
      <c r="F182" s="16"/>
      <c r="G182" s="16"/>
      <c r="H182" s="1"/>
      <c r="I182" s="42">
        <f t="shared" ref="I182:K182" si="73">NORMINV(rand(),0, sqrt(2/5))</f>
        <v>0.5541863137</v>
      </c>
      <c r="J182" s="43">
        <f t="shared" si="73"/>
        <v>0.2133461376</v>
      </c>
      <c r="K182" s="44">
        <f t="shared" si="73"/>
        <v>0.3277549754</v>
      </c>
      <c r="M182" s="43"/>
      <c r="N182" s="43"/>
      <c r="O182" s="2"/>
      <c r="P182" s="136"/>
      <c r="Q182" s="43"/>
      <c r="R182" s="43"/>
      <c r="S182" s="43"/>
      <c r="T182" s="43"/>
      <c r="U182" s="43"/>
      <c r="V182" s="43"/>
      <c r="W182" s="43"/>
      <c r="X182" s="2"/>
      <c r="Y182" s="2"/>
      <c r="Z182" s="2"/>
    </row>
    <row r="183">
      <c r="F183" s="16"/>
      <c r="G183" s="16"/>
      <c r="H183" s="1"/>
      <c r="I183" s="42">
        <f t="shared" ref="I183:K183" si="74">NORMINV(rand(),0, sqrt(2/5))</f>
        <v>-0.605450548</v>
      </c>
      <c r="J183" s="43">
        <f t="shared" si="74"/>
        <v>-0.2146379227</v>
      </c>
      <c r="K183" s="44">
        <f t="shared" si="74"/>
        <v>-0.4568886227</v>
      </c>
      <c r="M183" s="43"/>
      <c r="N183" s="43"/>
      <c r="O183" s="2"/>
      <c r="P183" s="1"/>
      <c r="Q183" s="43"/>
      <c r="R183" s="43"/>
      <c r="S183" s="43"/>
      <c r="T183" s="43"/>
      <c r="U183" s="43"/>
      <c r="V183" s="43"/>
      <c r="W183" s="43"/>
      <c r="X183" s="2"/>
      <c r="Y183" s="2"/>
      <c r="Z183" s="2"/>
    </row>
    <row r="184">
      <c r="F184" s="16"/>
      <c r="G184" s="16"/>
      <c r="H184" s="136"/>
      <c r="I184" s="45">
        <f t="shared" ref="I184:K184" si="75">NORMINV(rand(),0, sqrt(2/5))</f>
        <v>0.01563711799</v>
      </c>
      <c r="J184" s="46">
        <f t="shared" si="75"/>
        <v>0.2625793114</v>
      </c>
      <c r="K184" s="47">
        <f t="shared" si="75"/>
        <v>-0.6147222962</v>
      </c>
      <c r="M184" s="43"/>
      <c r="N184" s="43"/>
      <c r="O184" s="2"/>
      <c r="P184" s="2"/>
      <c r="Q184" s="2"/>
      <c r="R184" s="2"/>
      <c r="S184" s="2"/>
      <c r="T184" s="2"/>
      <c r="U184" s="43"/>
      <c r="V184" s="43"/>
      <c r="W184" s="43"/>
      <c r="X184" s="2"/>
      <c r="Y184" s="2"/>
      <c r="Z184" s="2"/>
    </row>
    <row r="185">
      <c r="U185" s="43"/>
      <c r="V185" s="43"/>
      <c r="W185" s="43"/>
      <c r="X185" s="43"/>
      <c r="Y185" s="43"/>
      <c r="Z185" s="43"/>
    </row>
    <row r="186">
      <c r="A186" s="135" t="s">
        <v>39</v>
      </c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23" t="s">
        <v>4</v>
      </c>
      <c r="C188" s="39">
        <f t="shared" ref="C188:E188" si="76">NORMINV(rand(),0, sqrt(2/5))</f>
        <v>-0.7581792147</v>
      </c>
      <c r="D188" s="40">
        <f t="shared" si="76"/>
        <v>-0.1682613866</v>
      </c>
      <c r="E188" s="41">
        <f t="shared" si="76"/>
        <v>-1.083471207</v>
      </c>
      <c r="F188" s="43"/>
      <c r="G188" s="43"/>
      <c r="U188" s="2"/>
      <c r="V188" s="2"/>
      <c r="W188" s="2"/>
      <c r="X188" s="2"/>
      <c r="Y188" s="2"/>
      <c r="Z188" s="2"/>
    </row>
    <row r="189">
      <c r="B189" s="1"/>
      <c r="C189" s="42">
        <f t="shared" ref="C189:E189" si="77">NORMINV(rand(),0, sqrt(2/5))</f>
        <v>0.2903783232</v>
      </c>
      <c r="D189" s="43">
        <f t="shared" si="77"/>
        <v>-0.5411398466</v>
      </c>
      <c r="E189" s="44">
        <f t="shared" si="77"/>
        <v>0.6481669802</v>
      </c>
      <c r="F189" s="43"/>
      <c r="G189" s="43"/>
      <c r="U189" s="2"/>
      <c r="V189" s="2"/>
      <c r="W189" s="2"/>
      <c r="X189" s="2"/>
      <c r="Y189" s="2"/>
      <c r="Z189" s="2"/>
    </row>
    <row r="190">
      <c r="B190" s="1"/>
      <c r="C190" s="45">
        <f t="shared" ref="C190:E190" si="78">NORMINV(rand(),0, sqrt(2/5))</f>
        <v>-0.2492682565</v>
      </c>
      <c r="D190" s="46">
        <f t="shared" si="78"/>
        <v>-0.7807049908</v>
      </c>
      <c r="E190" s="47">
        <f t="shared" si="78"/>
        <v>-0.5540145662</v>
      </c>
      <c r="F190" s="43"/>
      <c r="G190" s="43"/>
      <c r="W190" s="43"/>
      <c r="X190" s="43"/>
      <c r="Y190" s="43"/>
      <c r="Z190" s="43"/>
    </row>
    <row r="191">
      <c r="D191" s="4" t="s">
        <v>24</v>
      </c>
      <c r="W191" s="43"/>
      <c r="X191" s="43"/>
      <c r="Y191" s="43"/>
      <c r="Z191" s="43"/>
    </row>
    <row r="192">
      <c r="C192" s="16"/>
      <c r="D192" s="4" t="s">
        <v>24</v>
      </c>
      <c r="E192" s="16"/>
      <c r="F192" s="16"/>
      <c r="G192" s="16"/>
      <c r="W192" s="43"/>
      <c r="X192" s="43"/>
      <c r="Y192" s="43"/>
      <c r="Z192" s="43"/>
    </row>
    <row r="193">
      <c r="B193" s="23" t="s">
        <v>36</v>
      </c>
      <c r="C193" s="12">
        <f t="array" ref="C193:E195">MMULT(O193:T195 ,MMULT(I193:K198,C188:E190))+C188:E190</f>
        <v>-1.705249753</v>
      </c>
      <c r="D193" s="13">
        <v>-2.127405957854064</v>
      </c>
      <c r="E193" s="14">
        <v>-2.7597460123451807</v>
      </c>
      <c r="F193" s="53" t="s">
        <v>28</v>
      </c>
      <c r="G193" s="53" t="s">
        <v>28</v>
      </c>
      <c r="H193" s="23" t="s">
        <v>26</v>
      </c>
      <c r="I193" s="39">
        <f t="shared" ref="I193:K193" si="79">NORMINV(rand(),0, sqrt(2/5))</f>
        <v>0.1017283149</v>
      </c>
      <c r="J193" s="40">
        <f t="shared" si="79"/>
        <v>-1.386901745</v>
      </c>
      <c r="K193" s="41">
        <f t="shared" si="79"/>
        <v>-0.8174187363</v>
      </c>
      <c r="N193" s="23" t="s">
        <v>30</v>
      </c>
      <c r="O193" s="39">
        <f t="shared" ref="O193:T193" si="80">NORMINV(rand(),0, sqrt(2/5))</f>
        <v>0.4665358891</v>
      </c>
      <c r="P193" s="40">
        <f t="shared" si="80"/>
        <v>-0.2366749463</v>
      </c>
      <c r="Q193" s="40">
        <f t="shared" si="80"/>
        <v>0.1435902702</v>
      </c>
      <c r="R193" s="40">
        <f t="shared" si="80"/>
        <v>0.07526749031</v>
      </c>
      <c r="S193" s="40">
        <f t="shared" si="80"/>
        <v>-1.384584517</v>
      </c>
      <c r="T193" s="41">
        <f t="shared" si="80"/>
        <v>0.1515739671</v>
      </c>
      <c r="U193" s="43"/>
      <c r="V193" s="43"/>
      <c r="W193" s="43"/>
      <c r="X193" s="43"/>
      <c r="Y193" s="43"/>
      <c r="Z193" s="43"/>
    </row>
    <row r="194">
      <c r="B194" s="23" t="s">
        <v>37</v>
      </c>
      <c r="C194" s="17">
        <v>0.981809057592502</v>
      </c>
      <c r="D194" s="16">
        <v>1.325516442756864</v>
      </c>
      <c r="E194" s="18">
        <v>1.3781122842859994</v>
      </c>
      <c r="F194" s="16"/>
      <c r="G194" s="16"/>
      <c r="H194" s="23" t="s">
        <v>27</v>
      </c>
      <c r="I194" s="42">
        <f t="shared" ref="I194:K194" si="81">NORMINV(rand(),0, sqrt(2/5))</f>
        <v>0.1487501183</v>
      </c>
      <c r="J194" s="43">
        <f t="shared" si="81"/>
        <v>-0.3031798484</v>
      </c>
      <c r="K194" s="44">
        <f t="shared" si="81"/>
        <v>-0.1447521448</v>
      </c>
      <c r="N194" s="23" t="s">
        <v>32</v>
      </c>
      <c r="O194" s="42">
        <f t="shared" ref="O194:T194" si="82">NORMINV(rand(),0, sqrt(2/5))</f>
        <v>0.4464911833</v>
      </c>
      <c r="P194" s="43">
        <f t="shared" si="82"/>
        <v>-0.4323011334</v>
      </c>
      <c r="Q194" s="43">
        <f t="shared" si="82"/>
        <v>0.60160136</v>
      </c>
      <c r="R194" s="43">
        <f t="shared" si="82"/>
        <v>1.149392117</v>
      </c>
      <c r="S194" s="43">
        <f t="shared" si="82"/>
        <v>0.3581810535</v>
      </c>
      <c r="T194" s="44">
        <f t="shared" si="82"/>
        <v>-1.013534631</v>
      </c>
      <c r="U194" s="43"/>
      <c r="V194" s="43"/>
      <c r="W194" s="43"/>
      <c r="X194" s="43"/>
      <c r="Y194" s="43"/>
      <c r="Z194" s="43"/>
    </row>
    <row r="195">
      <c r="B195" s="139" t="s">
        <v>38</v>
      </c>
      <c r="C195" s="19">
        <v>-0.7826408045660794</v>
      </c>
      <c r="D195" s="20">
        <v>-0.619366823936226</v>
      </c>
      <c r="E195" s="21">
        <v>-1.5697623651002686</v>
      </c>
      <c r="F195" s="16"/>
      <c r="G195" s="16"/>
      <c r="H195" s="1"/>
      <c r="I195" s="42">
        <f t="shared" ref="I195:K195" si="83">NORMINV(rand(),0, sqrt(2/5))</f>
        <v>-0.4373757454</v>
      </c>
      <c r="J195" s="43">
        <f t="shared" si="83"/>
        <v>0.03119510664</v>
      </c>
      <c r="K195" s="44">
        <f t="shared" si="83"/>
        <v>0.4612739836</v>
      </c>
      <c r="N195" s="1"/>
      <c r="O195" s="45">
        <f t="shared" ref="O195:T195" si="84">NORMINV(rand(),0, sqrt(2/5))</f>
        <v>0.3507401614</v>
      </c>
      <c r="P195" s="46">
        <f t="shared" si="84"/>
        <v>0.9649410834</v>
      </c>
      <c r="Q195" s="46">
        <f t="shared" si="84"/>
        <v>0.2314914534</v>
      </c>
      <c r="R195" s="46">
        <f t="shared" si="84"/>
        <v>0.1100337651</v>
      </c>
      <c r="S195" s="46">
        <f t="shared" si="84"/>
        <v>-0.2916213188</v>
      </c>
      <c r="T195" s="47">
        <f t="shared" si="84"/>
        <v>0.8226639692</v>
      </c>
      <c r="U195" s="2"/>
      <c r="V195" s="2"/>
      <c r="W195" s="2"/>
      <c r="X195" s="2"/>
      <c r="Y195" s="2"/>
      <c r="Z195" s="2"/>
    </row>
    <row r="196">
      <c r="D196" s="4" t="s">
        <v>24</v>
      </c>
      <c r="F196" s="16"/>
      <c r="G196" s="16"/>
      <c r="H196" s="1"/>
      <c r="I196" s="42">
        <f t="shared" ref="I196:K196" si="85">NORMINV(rand(),0, sqrt(2/5))</f>
        <v>-0.6187271375</v>
      </c>
      <c r="J196" s="43">
        <f t="shared" si="85"/>
        <v>-1.106264649</v>
      </c>
      <c r="K196" s="44">
        <f t="shared" si="85"/>
        <v>-0.03765336818</v>
      </c>
      <c r="M196" s="43"/>
      <c r="N196" s="43"/>
      <c r="O196" s="2"/>
      <c r="P196" s="136"/>
      <c r="Q196" s="43"/>
      <c r="R196" s="43"/>
      <c r="S196" s="43"/>
      <c r="T196" s="43"/>
      <c r="U196" s="43"/>
      <c r="V196" s="43"/>
      <c r="W196" s="43"/>
      <c r="X196" s="2"/>
      <c r="Y196" s="2"/>
      <c r="Z196" s="2"/>
    </row>
    <row r="197">
      <c r="D197" s="4" t="s">
        <v>24</v>
      </c>
      <c r="F197" s="16"/>
      <c r="G197" s="16"/>
      <c r="H197" s="1"/>
      <c r="I197" s="42">
        <f t="shared" ref="I197:K197" si="86">NORMINV(rand(),0, sqrt(2/5))</f>
        <v>-0.5687729336</v>
      </c>
      <c r="J197" s="43">
        <f t="shared" si="86"/>
        <v>-0.7729677592</v>
      </c>
      <c r="K197" s="44">
        <f t="shared" si="86"/>
        <v>-1.695133744</v>
      </c>
      <c r="M197" s="43"/>
      <c r="N197" s="43"/>
      <c r="O197" s="2"/>
      <c r="P197" s="1"/>
      <c r="Q197" s="43"/>
      <c r="R197" s="43"/>
      <c r="S197" s="43"/>
      <c r="T197" s="43"/>
      <c r="U197" s="43"/>
      <c r="V197" s="43"/>
      <c r="W197" s="43"/>
      <c r="X197" s="2"/>
      <c r="Y197" s="2"/>
      <c r="Z197" s="2"/>
    </row>
    <row r="198">
      <c r="D198" s="4" t="s">
        <v>24</v>
      </c>
      <c r="F198" s="16"/>
      <c r="G198" s="16"/>
      <c r="H198" s="136"/>
      <c r="I198" s="45">
        <f t="shared" ref="I198:K198" si="87">NORMINV(rand(),0, sqrt(2/5))</f>
        <v>0.1339008858</v>
      </c>
      <c r="J198" s="46">
        <f t="shared" si="87"/>
        <v>-0.1943424927</v>
      </c>
      <c r="K198" s="47">
        <f t="shared" si="87"/>
        <v>0.1641287258</v>
      </c>
      <c r="M198" s="43"/>
      <c r="N198" s="43"/>
      <c r="O198" s="2"/>
      <c r="P198" s="2"/>
      <c r="Q198" s="2"/>
      <c r="R198" s="2"/>
      <c r="S198" s="2"/>
      <c r="T198" s="2"/>
      <c r="U198" s="43"/>
      <c r="V198" s="43"/>
      <c r="W198" s="43"/>
      <c r="X198" s="2"/>
      <c r="Y198" s="2"/>
      <c r="Z198" s="2"/>
    </row>
    <row r="199">
      <c r="D199" s="4" t="s">
        <v>24</v>
      </c>
      <c r="W199" s="43"/>
      <c r="X199" s="43"/>
      <c r="Y199" s="43"/>
      <c r="Z199" s="43"/>
    </row>
    <row r="200">
      <c r="D200" s="4" t="s">
        <v>24</v>
      </c>
      <c r="W200" s="43"/>
      <c r="X200" s="43"/>
      <c r="Y200" s="43"/>
      <c r="Z200" s="43"/>
    </row>
    <row r="201">
      <c r="B201" s="23" t="s">
        <v>40</v>
      </c>
      <c r="C201" s="141" t="s">
        <v>41</v>
      </c>
      <c r="D201" s="13"/>
      <c r="E201" s="14"/>
      <c r="W201" s="43"/>
      <c r="X201" s="43"/>
      <c r="Y201" s="43"/>
      <c r="Z201" s="43"/>
    </row>
    <row r="202">
      <c r="C202" s="17"/>
      <c r="D202" s="16"/>
      <c r="E202" s="18"/>
      <c r="W202" s="43"/>
      <c r="X202" s="43"/>
      <c r="Y202" s="43"/>
      <c r="Z202" s="43"/>
    </row>
    <row r="203">
      <c r="C203" s="19"/>
      <c r="D203" s="20"/>
      <c r="E203" s="21"/>
      <c r="W203" s="43"/>
      <c r="X203" s="43"/>
      <c r="Y203" s="43"/>
      <c r="Z203" s="43"/>
    </row>
    <row r="204">
      <c r="F204" s="16"/>
      <c r="G204" s="16"/>
      <c r="H204" s="1"/>
      <c r="I204" s="43"/>
      <c r="J204" s="43"/>
      <c r="K204" s="43"/>
      <c r="M204" s="43"/>
      <c r="N204" s="43"/>
      <c r="O204" s="2"/>
      <c r="P204" s="1"/>
      <c r="Q204" s="43"/>
      <c r="R204" s="43"/>
      <c r="S204" s="43"/>
      <c r="T204" s="43"/>
      <c r="U204" s="43"/>
      <c r="V204" s="43"/>
      <c r="W204" s="43"/>
      <c r="X204" s="2"/>
      <c r="Y204" s="2"/>
      <c r="Z204" s="2"/>
    </row>
    <row r="205">
      <c r="A205" s="135" t="s">
        <v>42</v>
      </c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23" t="s">
        <v>4</v>
      </c>
      <c r="C207" s="39">
        <f t="shared" ref="C207:E207" si="88">NORMINV(rand(),0, sqrt(2/5))</f>
        <v>-0.3377238933</v>
      </c>
      <c r="D207" s="40">
        <f t="shared" si="88"/>
        <v>-0.6704467657</v>
      </c>
      <c r="E207" s="41">
        <f t="shared" si="88"/>
        <v>-0.02089227559</v>
      </c>
      <c r="F207" s="43"/>
      <c r="G207" s="43"/>
      <c r="U207" s="2"/>
      <c r="V207" s="2"/>
      <c r="W207" s="2"/>
      <c r="X207" s="2"/>
      <c r="Y207" s="2"/>
      <c r="Z207" s="2"/>
    </row>
    <row r="208">
      <c r="B208" s="1"/>
      <c r="C208" s="42">
        <f t="shared" ref="C208:E208" si="89">NORMINV(rand(),0, sqrt(2/5))</f>
        <v>0.3717433797</v>
      </c>
      <c r="D208" s="43">
        <f t="shared" si="89"/>
        <v>-0.214745086</v>
      </c>
      <c r="E208" s="44">
        <f t="shared" si="89"/>
        <v>-0.9552794059</v>
      </c>
      <c r="F208" s="43"/>
      <c r="G208" s="43"/>
      <c r="U208" s="2"/>
      <c r="V208" s="2"/>
      <c r="W208" s="2"/>
      <c r="X208" s="2"/>
      <c r="Y208" s="2"/>
      <c r="Z208" s="2"/>
    </row>
    <row r="209">
      <c r="B209" s="1"/>
      <c r="C209" s="45">
        <f t="shared" ref="C209:E209" si="90">NORMINV(rand(),0, sqrt(2/5))</f>
        <v>-0.4065016739</v>
      </c>
      <c r="D209" s="46">
        <f t="shared" si="90"/>
        <v>0.8702073197</v>
      </c>
      <c r="E209" s="47">
        <f t="shared" si="90"/>
        <v>0.4288295066</v>
      </c>
      <c r="F209" s="43"/>
      <c r="G209" s="43"/>
      <c r="W209" s="43"/>
      <c r="X209" s="43"/>
      <c r="Y209" s="43"/>
      <c r="Z209" s="43"/>
    </row>
    <row r="210">
      <c r="D210" s="4" t="s">
        <v>24</v>
      </c>
      <c r="W210" s="43"/>
      <c r="X210" s="43"/>
      <c r="Y210" s="43"/>
      <c r="Z210" s="43"/>
    </row>
    <row r="211">
      <c r="D211" s="4" t="s">
        <v>24</v>
      </c>
      <c r="W211" s="43"/>
      <c r="X211" s="43"/>
      <c r="Y211" s="43"/>
      <c r="Z211" s="43"/>
    </row>
    <row r="212">
      <c r="B212" s="23" t="s">
        <v>40</v>
      </c>
      <c r="C212" s="141" t="s">
        <v>43</v>
      </c>
      <c r="D212" s="13"/>
      <c r="E212" s="14"/>
      <c r="W212" s="43"/>
      <c r="X212" s="43"/>
      <c r="Y212" s="43"/>
      <c r="Z212" s="43"/>
    </row>
    <row r="213">
      <c r="C213" s="17"/>
      <c r="D213" s="16"/>
      <c r="E213" s="18"/>
      <c r="W213" s="43"/>
      <c r="X213" s="43"/>
      <c r="Y213" s="43"/>
      <c r="Z213" s="43"/>
    </row>
    <row r="214">
      <c r="C214" s="19"/>
      <c r="D214" s="20"/>
      <c r="E214" s="21"/>
      <c r="W214" s="43"/>
      <c r="X214" s="43"/>
      <c r="Y214" s="43"/>
      <c r="Z214" s="43"/>
    </row>
    <row r="215">
      <c r="D215" s="4" t="s">
        <v>24</v>
      </c>
      <c r="W215" s="43"/>
      <c r="X215" s="43"/>
      <c r="Y215" s="43"/>
      <c r="Z215" s="43"/>
    </row>
    <row r="216">
      <c r="C216" s="16"/>
      <c r="D216" s="4" t="s">
        <v>24</v>
      </c>
      <c r="E216" s="16"/>
      <c r="F216" s="16"/>
      <c r="G216" s="16"/>
      <c r="W216" s="43"/>
      <c r="X216" s="43"/>
      <c r="Y216" s="43"/>
      <c r="Z216" s="43"/>
    </row>
    <row r="217">
      <c r="B217" s="23" t="s">
        <v>44</v>
      </c>
      <c r="C217" s="12" t="str">
        <f t="array" ref="C217:E219">MMULT(O217:T219 ,MMULT(I217:K222,C212:E214))+C207:E209</f>
        <v>#VALUE!</v>
      </c>
      <c r="D217" s="13" t="e">
        <v>#VALUE!</v>
      </c>
      <c r="E217" s="14" t="e">
        <v>#VALUE!</v>
      </c>
      <c r="F217" s="16"/>
      <c r="G217" s="16"/>
      <c r="H217" s="23" t="s">
        <v>26</v>
      </c>
      <c r="I217" s="39">
        <f t="shared" ref="I217:K217" si="91">NORMINV(rand(),0, sqrt(2/5))</f>
        <v>0.5918974845</v>
      </c>
      <c r="J217" s="40">
        <f t="shared" si="91"/>
        <v>0.3185030858</v>
      </c>
      <c r="K217" s="41">
        <f t="shared" si="91"/>
        <v>0.1664340207</v>
      </c>
      <c r="N217" s="23" t="s">
        <v>30</v>
      </c>
      <c r="O217" s="39">
        <f t="shared" ref="O217:T217" si="92">NORMINV(rand(),0, sqrt(2/5))</f>
        <v>-0.6342637198</v>
      </c>
      <c r="P217" s="40">
        <f t="shared" si="92"/>
        <v>0.3415665312</v>
      </c>
      <c r="Q217" s="40">
        <f t="shared" si="92"/>
        <v>-0.1320700508</v>
      </c>
      <c r="R217" s="40">
        <f t="shared" si="92"/>
        <v>0.9473572703</v>
      </c>
      <c r="S217" s="40">
        <f t="shared" si="92"/>
        <v>0.3415870026</v>
      </c>
      <c r="T217" s="41">
        <f t="shared" si="92"/>
        <v>-0.4879654491</v>
      </c>
      <c r="U217" s="43"/>
      <c r="V217" s="43"/>
      <c r="W217" s="43"/>
      <c r="X217" s="43"/>
      <c r="Y217" s="43"/>
      <c r="Z217" s="43"/>
    </row>
    <row r="218">
      <c r="B218" s="23" t="s">
        <v>45</v>
      </c>
      <c r="C218" s="17" t="e">
        <v>#VALUE!</v>
      </c>
      <c r="D218" s="16" t="e">
        <v>#VALUE!</v>
      </c>
      <c r="E218" s="18" t="e">
        <v>#VALUE!</v>
      </c>
      <c r="F218" s="16"/>
      <c r="G218" s="16"/>
      <c r="H218" s="23" t="s">
        <v>27</v>
      </c>
      <c r="I218" s="42">
        <f t="shared" ref="I218:K218" si="93">NORMINV(rand(),0, sqrt(2/5))</f>
        <v>0.3777772289</v>
      </c>
      <c r="J218" s="43">
        <f t="shared" si="93"/>
        <v>0.7042187735</v>
      </c>
      <c r="K218" s="44">
        <f t="shared" si="93"/>
        <v>0.3134776559</v>
      </c>
      <c r="N218" s="23" t="s">
        <v>32</v>
      </c>
      <c r="O218" s="42">
        <f t="shared" ref="O218:T218" si="94">NORMINV(rand(),0, sqrt(2/5))</f>
        <v>0.528105384</v>
      </c>
      <c r="P218" s="43">
        <f t="shared" si="94"/>
        <v>0.4469476577</v>
      </c>
      <c r="Q218" s="43">
        <f t="shared" si="94"/>
        <v>0.5115683449</v>
      </c>
      <c r="R218" s="43">
        <f t="shared" si="94"/>
        <v>-1.304582264</v>
      </c>
      <c r="S218" s="43">
        <f t="shared" si="94"/>
        <v>-1.468858298</v>
      </c>
      <c r="T218" s="44">
        <f t="shared" si="94"/>
        <v>-0.5341859819</v>
      </c>
      <c r="U218" s="43"/>
      <c r="V218" s="43"/>
      <c r="W218" s="43"/>
      <c r="X218" s="43"/>
      <c r="Y218" s="43"/>
      <c r="Z218" s="43"/>
    </row>
    <row r="219">
      <c r="B219" s="139" t="s">
        <v>38</v>
      </c>
      <c r="C219" s="19" t="e">
        <v>#VALUE!</v>
      </c>
      <c r="D219" s="20" t="e">
        <v>#VALUE!</v>
      </c>
      <c r="E219" s="21" t="e">
        <v>#VALUE!</v>
      </c>
      <c r="F219" s="16"/>
      <c r="G219" s="16"/>
      <c r="H219" s="1"/>
      <c r="I219" s="42">
        <f t="shared" ref="I219:K219" si="95">NORMINV(rand(),0, sqrt(2/5))</f>
        <v>-1.153040134</v>
      </c>
      <c r="J219" s="43">
        <f t="shared" si="95"/>
        <v>-0.1728271125</v>
      </c>
      <c r="K219" s="44">
        <f t="shared" si="95"/>
        <v>-0.3716092916</v>
      </c>
      <c r="N219" s="1"/>
      <c r="O219" s="45">
        <f t="shared" ref="O219:T219" si="96">NORMINV(rand(),0, sqrt(2/5))</f>
        <v>1.252041203</v>
      </c>
      <c r="P219" s="46">
        <f t="shared" si="96"/>
        <v>0.474917845</v>
      </c>
      <c r="Q219" s="46">
        <f t="shared" si="96"/>
        <v>0.8612812967</v>
      </c>
      <c r="R219" s="46">
        <f t="shared" si="96"/>
        <v>0.5282194924</v>
      </c>
      <c r="S219" s="46">
        <f t="shared" si="96"/>
        <v>0.7027801565</v>
      </c>
      <c r="T219" s="47">
        <f t="shared" si="96"/>
        <v>-0.678005827</v>
      </c>
      <c r="U219" s="2"/>
      <c r="V219" s="2"/>
      <c r="W219" s="2"/>
      <c r="X219" s="2"/>
      <c r="Y219" s="2"/>
      <c r="Z219" s="2"/>
    </row>
    <row r="220">
      <c r="F220" s="16"/>
      <c r="G220" s="16"/>
      <c r="H220" s="1"/>
      <c r="I220" s="42">
        <f t="shared" ref="I220:K220" si="97">NORMINV(rand(),0, sqrt(2/5))</f>
        <v>0.7042279278</v>
      </c>
      <c r="J220" s="43">
        <f t="shared" si="97"/>
        <v>0.8686045696</v>
      </c>
      <c r="K220" s="44">
        <f t="shared" si="97"/>
        <v>0.1475881258</v>
      </c>
      <c r="M220" s="43"/>
      <c r="N220" s="43"/>
      <c r="O220" s="2"/>
      <c r="P220" s="136"/>
      <c r="Q220" s="43"/>
      <c r="R220" s="43"/>
      <c r="S220" s="43"/>
      <c r="T220" s="43"/>
      <c r="U220" s="43"/>
      <c r="V220" s="43"/>
      <c r="W220" s="43"/>
      <c r="X220" s="2"/>
      <c r="Y220" s="2"/>
      <c r="Z220" s="2"/>
    </row>
    <row r="221">
      <c r="F221" s="16"/>
      <c r="G221" s="16"/>
      <c r="H221" s="1"/>
      <c r="I221" s="42">
        <f t="shared" ref="I221:K221" si="98">NORMINV(rand(),0, sqrt(2/5))</f>
        <v>-0.05403274937</v>
      </c>
      <c r="J221" s="43">
        <f t="shared" si="98"/>
        <v>-0.6111749896</v>
      </c>
      <c r="K221" s="44">
        <f t="shared" si="98"/>
        <v>0.6575785323</v>
      </c>
      <c r="M221" s="43"/>
      <c r="N221" s="43"/>
      <c r="O221" s="2"/>
      <c r="P221" s="1"/>
      <c r="Q221" s="43"/>
      <c r="R221" s="43"/>
      <c r="S221" s="43"/>
      <c r="T221" s="43"/>
      <c r="U221" s="43"/>
      <c r="V221" s="43"/>
      <c r="W221" s="43"/>
      <c r="X221" s="2"/>
      <c r="Y221" s="2"/>
      <c r="Z221" s="2"/>
    </row>
    <row r="222">
      <c r="F222" s="16"/>
      <c r="G222" s="16"/>
      <c r="H222" s="136"/>
      <c r="I222" s="45">
        <f t="shared" ref="I222:K222" si="99">NORMINV(rand(),0, sqrt(2/5))</f>
        <v>-0.3187259204</v>
      </c>
      <c r="J222" s="46">
        <f t="shared" si="99"/>
        <v>-0.6161834787</v>
      </c>
      <c r="K222" s="47">
        <f t="shared" si="99"/>
        <v>-0.04266844295</v>
      </c>
      <c r="M222" s="43"/>
      <c r="N222" s="43"/>
      <c r="O222" s="2"/>
      <c r="P222" s="2"/>
      <c r="Q222" s="2"/>
      <c r="R222" s="2"/>
      <c r="S222" s="2"/>
      <c r="T222" s="2"/>
      <c r="U222" s="43"/>
      <c r="V222" s="43"/>
      <c r="W222" s="43"/>
      <c r="X222" s="2"/>
      <c r="Y222" s="2"/>
      <c r="Z222" s="2"/>
    </row>
    <row r="223">
      <c r="F223" s="16"/>
      <c r="G223" s="16"/>
      <c r="H223" s="1"/>
      <c r="I223" s="43"/>
      <c r="J223" s="43"/>
      <c r="K223" s="43"/>
      <c r="M223" s="43"/>
      <c r="N223" s="43"/>
      <c r="O223" s="2"/>
      <c r="P223" s="1"/>
      <c r="Q223" s="43"/>
      <c r="R223" s="43"/>
      <c r="S223" s="43"/>
      <c r="T223" s="43"/>
      <c r="U223" s="43"/>
      <c r="V223" s="43"/>
      <c r="W223" s="43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B1036" s="1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B1037" s="1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B1038" s="1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B1039" s="1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B1040" s="1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B1041" s="1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B1042" s="1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B1043" s="1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B1044" s="1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B1045" s="1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B1046" s="1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B1047" s="1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B1048" s="1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B1049" s="1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B1050" s="1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B1051" s="1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B1052" s="1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B1053" s="1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B1054" s="1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B1055" s="1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B1056" s="1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B1057" s="1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B1058" s="1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B1059" s="1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B1060" s="1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B1061" s="1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B1062" s="1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B1063" s="1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B1064" s="1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B1065" s="1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B1066" s="1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B1067" s="1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B1068" s="1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B1069" s="1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B1070" s="1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B1071" s="1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B1072" s="1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B1073" s="1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B1074" s="1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B1075" s="1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B1076" s="1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B1077" s="1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B1078" s="1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B1079" s="1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B1080" s="1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B1081" s="1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B1082" s="1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B1083" s="1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B1084" s="1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B1085" s="1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B1086" s="1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B1087" s="1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B1088" s="1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B1089" s="1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B1090" s="1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B1091" s="1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B1092" s="1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B1093" s="1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B1094" s="1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B1095" s="1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B1096" s="1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B1097" s="1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B1098" s="1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B1099" s="1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B1100" s="1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B1101" s="1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B1102" s="1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B1103" s="1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B1104" s="1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B1105" s="1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B1106" s="1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B1107" s="1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B1108" s="1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B1109" s="1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B1110" s="1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B1111" s="1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B1112" s="1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B1113" s="1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B1114" s="1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B1115" s="1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B1116" s="1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B1117" s="1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B1118" s="1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B1119" s="1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B1120" s="1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B1121" s="1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B1122" s="1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B1123" s="1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B1124" s="1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B1125" s="1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B1126" s="1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B1127" s="1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B1128" s="1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B1129" s="1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B1130" s="1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B1131" s="1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B1132" s="1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B1133" s="1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B1134" s="1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B1135" s="1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B1136" s="1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B1137" s="1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B1138" s="1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B1139" s="1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B1140" s="1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B1141" s="1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B1142" s="1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B1143" s="1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B1144" s="1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B1145" s="1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B1146" s="1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B1147" s="1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B1148" s="1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</sheetData>
  <mergeCells count="20">
    <mergeCell ref="A2:Z2"/>
    <mergeCell ref="G9:J9"/>
    <mergeCell ref="A18:D18"/>
    <mergeCell ref="G18:H18"/>
    <mergeCell ref="A27:D28"/>
    <mergeCell ref="A37:Z37"/>
    <mergeCell ref="H51:K52"/>
    <mergeCell ref="B99:E100"/>
    <mergeCell ref="A108:Z108"/>
    <mergeCell ref="A125:Z125"/>
    <mergeCell ref="A171:Z171"/>
    <mergeCell ref="A186:Z186"/>
    <mergeCell ref="A205:Z205"/>
    <mergeCell ref="A55:D55"/>
    <mergeCell ref="G55:H55"/>
    <mergeCell ref="A64:D65"/>
    <mergeCell ref="A74:Z74"/>
    <mergeCell ref="G81:J81"/>
    <mergeCell ref="B90:E90"/>
    <mergeCell ref="H90:I90"/>
  </mergeCells>
  <conditionalFormatting sqref="C127:G131 N133:N170 O133:S162 T133:W158 J134:M143 J157:M170 J172:N185 C174:G179 I174:I185 O174:T185 U174:Z178 U180:W185 X185:Z185 I187:T204 U187:Z194 C188:G195 U196:W204 D198:D203 C199:C203 E199:G203 X199:Z203 I206:T223 U206:Z218 C207:G219 U220:W223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34:G143 C177:G185 C187:G187 C189:G204 C206:G206 C208:G22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58:G162 D177:D178 C189:G192 C195:G204 C208:G216 C219:G223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65:G16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:G15 D81:H82 C110:G114">
    <cfRule type="colorScale" priority="5">
      <colorScale>
        <cfvo type="min"/>
        <cfvo type="max"/>
        <color rgb="FFFFFFFF"/>
        <color rgb="FF57BB8A"/>
      </colorScale>
    </cfRule>
  </conditionalFormatting>
  <conditionalFormatting sqref="C30:G34 D102:H106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0:G24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57:G61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67:G71">
    <cfRule type="colorScale" priority="9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D92:H96">
    <cfRule type="colorScale" priority="10">
      <colorScale>
        <cfvo type="min"/>
        <cfvo type="max"/>
        <color rgb="FFFFFFFF"/>
        <color rgb="FF57BB8A"/>
      </colorScale>
    </cfRule>
  </conditionalFormatting>
  <conditionalFormatting sqref="C117:G121">
    <cfRule type="colorScale" priority="11">
      <colorScale>
        <cfvo type="min"/>
        <cfvo type="max"/>
        <color rgb="FFFFFFFF"/>
        <color rgb="FF57BB8A"/>
      </colorScale>
    </cfRule>
  </conditionalFormatting>
  <conditionalFormatting sqref="I117:M121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46:G155">
    <cfRule type="colorScale" priority="13">
      <colorScale>
        <cfvo type="min"/>
        <cfvo type="max"/>
        <color rgb="FFFFFFFF"/>
        <color rgb="FF57BB8A"/>
      </colorScale>
    </cfRule>
  </conditionalFormatting>
  <conditionalFormatting sqref="O117:S121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88"/>
    <col customWidth="1" min="3" max="3" width="6.0"/>
    <col customWidth="1" min="4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5"/>
      <c r="T3" s="6"/>
      <c r="U3" s="2"/>
      <c r="V3" s="2"/>
      <c r="W3" s="2"/>
      <c r="X3" s="2"/>
      <c r="Y3" s="2"/>
      <c r="Z3" s="2"/>
    </row>
    <row r="4">
      <c r="B4" s="1"/>
      <c r="C4" s="2"/>
      <c r="D4" s="2"/>
      <c r="E4" s="2"/>
      <c r="F4" s="2"/>
      <c r="K4" s="2"/>
      <c r="L4" s="2"/>
      <c r="M4" s="2"/>
      <c r="N4" s="2"/>
      <c r="O4" s="2"/>
      <c r="P4" s="2"/>
      <c r="Q4" s="2"/>
      <c r="R4" s="2"/>
      <c r="S4" s="5"/>
      <c r="T4" s="6"/>
      <c r="U4" s="2"/>
      <c r="V4" s="2"/>
      <c r="W4" s="2"/>
      <c r="X4" s="2"/>
      <c r="Y4" s="2"/>
      <c r="Z4" s="2"/>
    </row>
    <row r="5">
      <c r="K5" s="2"/>
      <c r="L5" s="2"/>
      <c r="M5" s="2"/>
      <c r="N5" s="2"/>
      <c r="O5" s="2"/>
      <c r="P5" s="2"/>
      <c r="Q5" s="2"/>
      <c r="R5" s="2"/>
      <c r="S5" s="5"/>
      <c r="T5" s="6"/>
      <c r="U5" s="2"/>
      <c r="V5" s="2"/>
      <c r="W5" s="2"/>
      <c r="X5" s="2"/>
      <c r="Y5" s="2"/>
      <c r="Z5" s="2"/>
    </row>
    <row r="6">
      <c r="K6" s="2"/>
      <c r="L6" s="2"/>
      <c r="M6" s="2"/>
      <c r="N6" s="2"/>
      <c r="O6" s="2"/>
      <c r="P6" s="2"/>
      <c r="Q6" s="2"/>
      <c r="R6" s="2"/>
      <c r="S6" s="5"/>
      <c r="T6" s="6"/>
      <c r="U6" s="2"/>
      <c r="V6" s="2"/>
      <c r="W6" s="2"/>
      <c r="X6" s="2"/>
      <c r="Y6" s="2"/>
      <c r="Z6" s="2"/>
    </row>
    <row r="7">
      <c r="K7" s="2"/>
      <c r="L7" s="2"/>
      <c r="M7" s="2"/>
      <c r="N7" s="2"/>
      <c r="O7" s="2"/>
      <c r="P7" s="2"/>
      <c r="Q7" s="2"/>
      <c r="R7" s="2"/>
      <c r="S7" s="5"/>
      <c r="T7" s="6"/>
      <c r="U7" s="2"/>
      <c r="V7" s="2"/>
      <c r="W7" s="2"/>
      <c r="X7" s="2"/>
      <c r="Y7" s="2"/>
      <c r="Z7" s="2"/>
    </row>
    <row r="8">
      <c r="K8" s="2"/>
      <c r="L8" s="2"/>
      <c r="M8" s="2"/>
      <c r="N8" s="2"/>
      <c r="O8" s="2"/>
      <c r="P8" s="2"/>
      <c r="Q8" s="2"/>
      <c r="R8" s="2"/>
      <c r="S8" s="5"/>
      <c r="T8" s="6"/>
      <c r="U8" s="2"/>
      <c r="V8" s="2"/>
      <c r="W8" s="2"/>
      <c r="X8" s="2"/>
      <c r="Y8" s="2"/>
      <c r="Z8" s="2"/>
    </row>
    <row r="9">
      <c r="B9" s="1"/>
      <c r="C9" s="2"/>
      <c r="D9" s="2"/>
      <c r="E9" s="2"/>
      <c r="F9" s="2"/>
      <c r="G9" s="7" t="s">
        <v>1</v>
      </c>
      <c r="H9" s="8"/>
      <c r="I9" s="8"/>
      <c r="J9" s="8"/>
      <c r="K9" s="2"/>
      <c r="L9" s="2"/>
      <c r="M9" s="2"/>
      <c r="N9" s="2"/>
      <c r="O9" s="2"/>
      <c r="P9" s="2"/>
      <c r="Q9" s="2"/>
      <c r="R9" s="2"/>
      <c r="S9" s="5"/>
      <c r="T9" s="6"/>
      <c r="U9" s="2"/>
      <c r="V9" s="2"/>
      <c r="W9" s="2"/>
      <c r="X9" s="2"/>
      <c r="Y9" s="2"/>
      <c r="Z9" s="2"/>
    </row>
    <row r="10">
      <c r="B10" s="1"/>
      <c r="C10" s="2"/>
      <c r="D10" s="2"/>
      <c r="E10" s="2"/>
      <c r="F10" s="2"/>
      <c r="G10" s="2"/>
      <c r="H10" s="9" t="s">
        <v>2</v>
      </c>
      <c r="I10" s="10" t="s">
        <v>3</v>
      </c>
      <c r="J10" s="2"/>
      <c r="K10" s="2"/>
      <c r="L10" s="2"/>
      <c r="M10" s="2"/>
      <c r="N10" s="2"/>
      <c r="O10" s="2"/>
      <c r="P10" s="2"/>
      <c r="Q10" s="2"/>
      <c r="R10" s="2"/>
      <c r="S10" s="5"/>
      <c r="T10" s="6"/>
      <c r="U10" s="2"/>
      <c r="V10" s="2"/>
      <c r="W10" s="2"/>
      <c r="X10" s="2"/>
      <c r="Y10" s="2"/>
      <c r="Z10" s="2"/>
    </row>
    <row r="11">
      <c r="B11" s="11" t="s">
        <v>4</v>
      </c>
      <c r="C11" s="12">
        <f t="shared" ref="C11:G11" si="1">Rand()</f>
        <v>0.454862758</v>
      </c>
      <c r="D11" s="13">
        <f t="shared" si="1"/>
        <v>0.2312041838</v>
      </c>
      <c r="E11" s="13">
        <f t="shared" si="1"/>
        <v>0.9276135045</v>
      </c>
      <c r="F11" s="13">
        <f t="shared" si="1"/>
        <v>0.5567910007</v>
      </c>
      <c r="G11" s="14">
        <f t="shared" si="1"/>
        <v>0.2770301607</v>
      </c>
      <c r="H11" s="16">
        <f t="shared" ref="H11:H15" si="3">AVERAGE(C11:G11)</f>
        <v>0.4895003215</v>
      </c>
      <c r="I11" s="16">
        <f t="shared" ref="I11:I15" si="4">VAR(C11:G11)</f>
        <v>0.07738285535</v>
      </c>
      <c r="J11" s="2"/>
      <c r="K11" s="2"/>
      <c r="L11" s="2"/>
      <c r="M11" s="2"/>
      <c r="N11" s="2"/>
      <c r="O11" s="2"/>
      <c r="P11" s="2"/>
      <c r="Q11" s="2"/>
      <c r="R11" s="2"/>
      <c r="S11" s="5"/>
      <c r="T11" s="6"/>
      <c r="U11" s="2"/>
      <c r="V11" s="2"/>
      <c r="W11" s="2"/>
      <c r="X11" s="2"/>
      <c r="Y11" s="2"/>
      <c r="Z11" s="2"/>
    </row>
    <row r="12">
      <c r="B12" s="1"/>
      <c r="C12" s="17">
        <f t="shared" ref="C12:G12" si="2">Rand()</f>
        <v>0.7616603248</v>
      </c>
      <c r="D12" s="16">
        <f t="shared" si="2"/>
        <v>0.579518865</v>
      </c>
      <c r="E12" s="16">
        <f t="shared" si="2"/>
        <v>0.4787843475</v>
      </c>
      <c r="F12" s="16">
        <f t="shared" si="2"/>
        <v>0.9575604292</v>
      </c>
      <c r="G12" s="18">
        <f t="shared" si="2"/>
        <v>0.4586066449</v>
      </c>
      <c r="H12" s="16">
        <f t="shared" si="3"/>
        <v>0.6472261223</v>
      </c>
      <c r="I12" s="16">
        <f t="shared" si="4"/>
        <v>0.04448419505</v>
      </c>
      <c r="J12" s="2"/>
      <c r="K12" s="2"/>
      <c r="L12" s="2"/>
      <c r="M12" s="2"/>
      <c r="N12" s="2"/>
      <c r="O12" s="2"/>
      <c r="P12" s="2"/>
      <c r="Q12" s="2"/>
      <c r="R12" s="2"/>
      <c r="S12" s="5"/>
      <c r="T12" s="6"/>
      <c r="U12" s="2"/>
      <c r="V12" s="2"/>
      <c r="W12" s="2"/>
      <c r="X12" s="2"/>
      <c r="Y12" s="2"/>
      <c r="Z12" s="2"/>
    </row>
    <row r="13">
      <c r="B13" s="1"/>
      <c r="C13" s="17">
        <f t="shared" ref="C13:G13" si="5">Rand()</f>
        <v>0.0384682461</v>
      </c>
      <c r="D13" s="16">
        <f t="shared" si="5"/>
        <v>0.1780210153</v>
      </c>
      <c r="E13" s="16">
        <f t="shared" si="5"/>
        <v>0.3990894</v>
      </c>
      <c r="F13" s="16">
        <f t="shared" si="5"/>
        <v>0.1673985084</v>
      </c>
      <c r="G13" s="18">
        <f t="shared" si="5"/>
        <v>0.3708831453</v>
      </c>
      <c r="H13" s="16">
        <f t="shared" si="3"/>
        <v>0.230772063</v>
      </c>
      <c r="I13" s="16">
        <f t="shared" si="4"/>
        <v>0.02293536994</v>
      </c>
      <c r="J13" s="2"/>
      <c r="K13" s="2"/>
      <c r="L13" s="2"/>
      <c r="M13" s="2"/>
      <c r="N13" s="2"/>
      <c r="O13" s="2"/>
      <c r="P13" s="2"/>
      <c r="Q13" s="2"/>
      <c r="R13" s="2"/>
      <c r="S13" s="5"/>
      <c r="T13" s="6"/>
      <c r="U13" s="2"/>
      <c r="V13" s="2"/>
      <c r="W13" s="2"/>
      <c r="X13" s="2"/>
      <c r="Y13" s="2"/>
      <c r="Z13" s="2"/>
    </row>
    <row r="14">
      <c r="B14" s="1"/>
      <c r="C14" s="17">
        <f t="shared" ref="C14:G14" si="6">Rand()</f>
        <v>0.3788663365</v>
      </c>
      <c r="D14" s="16">
        <f t="shared" si="6"/>
        <v>0.5937482123</v>
      </c>
      <c r="E14" s="16">
        <f t="shared" si="6"/>
        <v>0.1497164708</v>
      </c>
      <c r="F14" s="16">
        <f t="shared" si="6"/>
        <v>0.05934368555</v>
      </c>
      <c r="G14" s="18">
        <f t="shared" si="6"/>
        <v>0.212169117</v>
      </c>
      <c r="H14" s="16">
        <f t="shared" si="3"/>
        <v>0.2787687644</v>
      </c>
      <c r="I14" s="16">
        <f t="shared" si="4"/>
        <v>0.04461723732</v>
      </c>
      <c r="J14" s="2"/>
      <c r="K14" s="2"/>
      <c r="L14" s="2"/>
      <c r="M14" s="2"/>
      <c r="N14" s="2"/>
      <c r="O14" s="2"/>
      <c r="P14" s="2"/>
      <c r="Q14" s="2"/>
      <c r="R14" s="2"/>
      <c r="S14" s="5"/>
      <c r="T14" s="6"/>
      <c r="U14" s="2"/>
      <c r="V14" s="2"/>
      <c r="W14" s="2"/>
      <c r="X14" s="2"/>
      <c r="Y14" s="2"/>
      <c r="Z14" s="2"/>
    </row>
    <row r="15">
      <c r="B15" s="1"/>
      <c r="C15" s="19">
        <f t="shared" ref="C15:G15" si="7">Rand()</f>
        <v>0.2400094013</v>
      </c>
      <c r="D15" s="20">
        <f t="shared" si="7"/>
        <v>0.3274189899</v>
      </c>
      <c r="E15" s="20">
        <f t="shared" si="7"/>
        <v>0.5830940519</v>
      </c>
      <c r="F15" s="20">
        <f t="shared" si="7"/>
        <v>0.3078845768</v>
      </c>
      <c r="G15" s="21">
        <f t="shared" si="7"/>
        <v>0.956496009</v>
      </c>
      <c r="H15" s="16">
        <f t="shared" si="3"/>
        <v>0.4829806058</v>
      </c>
      <c r="I15" s="16">
        <f t="shared" si="4"/>
        <v>0.08703314526</v>
      </c>
      <c r="J15" s="2"/>
      <c r="K15" s="2"/>
      <c r="L15" s="2"/>
      <c r="M15" s="2"/>
      <c r="N15" s="2"/>
      <c r="O15" s="2"/>
      <c r="P15" s="2"/>
      <c r="Q15" s="2"/>
      <c r="R15" s="2"/>
      <c r="S15" s="5"/>
      <c r="T15" s="6"/>
      <c r="U15" s="2"/>
      <c r="V15" s="2"/>
      <c r="W15" s="2"/>
      <c r="X15" s="2"/>
      <c r="Y15" s="2"/>
      <c r="Z15" s="2"/>
    </row>
    <row r="16">
      <c r="I16" s="2"/>
      <c r="J16" s="2"/>
      <c r="K16" s="2"/>
      <c r="L16" s="2"/>
      <c r="M16" s="2"/>
      <c r="N16" s="2"/>
      <c r="O16" s="2"/>
      <c r="P16" s="2"/>
      <c r="Q16" s="2"/>
      <c r="R16" s="2"/>
      <c r="S16" s="5"/>
      <c r="T16" s="6"/>
      <c r="U16" s="2"/>
      <c r="V16" s="2"/>
      <c r="W16" s="2"/>
      <c r="X16" s="2"/>
      <c r="Y16" s="2"/>
      <c r="Z16" s="2"/>
    </row>
    <row r="17">
      <c r="I17" s="2"/>
      <c r="J17" s="2"/>
      <c r="K17" s="2"/>
      <c r="L17" s="2"/>
      <c r="M17" s="2"/>
      <c r="N17" s="2"/>
      <c r="O17" s="2"/>
      <c r="P17" s="2"/>
      <c r="Q17" s="2"/>
      <c r="R17" s="2"/>
      <c r="S17" s="5"/>
      <c r="T17" s="6"/>
      <c r="U17" s="2"/>
      <c r="V17" s="2"/>
      <c r="W17" s="2"/>
      <c r="X17" s="2"/>
      <c r="Y17" s="2"/>
      <c r="Z17" s="2"/>
    </row>
    <row r="18">
      <c r="A18" s="22" t="s">
        <v>5</v>
      </c>
      <c r="F18" s="23" t="s">
        <v>6</v>
      </c>
      <c r="G18" s="24">
        <f>1E-16</f>
        <v>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5"/>
      <c r="T18" s="6"/>
      <c r="U18" s="2"/>
      <c r="V18" s="2"/>
      <c r="W18" s="2"/>
      <c r="X18" s="2"/>
      <c r="Y18" s="2"/>
      <c r="Z18" s="2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6"/>
      <c r="T19" s="27"/>
      <c r="U19" s="25"/>
      <c r="V19" s="25"/>
      <c r="W19" s="25"/>
      <c r="X19" s="25"/>
      <c r="Y19" s="25"/>
      <c r="Z19" s="25"/>
    </row>
    <row r="20">
      <c r="A20" s="25"/>
      <c r="B20" s="11" t="s">
        <v>7</v>
      </c>
      <c r="C20" s="28">
        <f t="shared" ref="C20:G20" si="8">((C11-$H11)/SQRT($I11+$G$18))</f>
        <v>-0.1245159425</v>
      </c>
      <c r="D20" s="29">
        <f t="shared" si="8"/>
        <v>-0.9285291384</v>
      </c>
      <c r="E20" s="29">
        <f t="shared" si="8"/>
        <v>1.574939756</v>
      </c>
      <c r="F20" s="29">
        <f t="shared" si="8"/>
        <v>0.2418981441</v>
      </c>
      <c r="G20" s="30">
        <f t="shared" si="8"/>
        <v>-0.7637928196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6"/>
      <c r="T20" s="27"/>
      <c r="U20" s="25"/>
      <c r="V20" s="25"/>
      <c r="W20" s="25"/>
      <c r="X20" s="25"/>
      <c r="Y20" s="25"/>
      <c r="Z20" s="25"/>
    </row>
    <row r="21">
      <c r="A21" s="25"/>
      <c r="B21" s="11" t="s">
        <v>8</v>
      </c>
      <c r="C21" s="31">
        <f t="shared" ref="C21:G21" si="9">((C12-$H12)/SQRT($I12+$G$18))</f>
        <v>0.5425665047</v>
      </c>
      <c r="D21" s="32">
        <f t="shared" si="9"/>
        <v>-0.3210201942</v>
      </c>
      <c r="E21" s="32">
        <f t="shared" si="9"/>
        <v>-0.7986324281</v>
      </c>
      <c r="F21" s="32">
        <f t="shared" si="9"/>
        <v>1.47138702</v>
      </c>
      <c r="G21" s="33">
        <f t="shared" si="9"/>
        <v>-0.8943009026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6"/>
      <c r="T21" s="27"/>
      <c r="U21" s="25"/>
      <c r="V21" s="25"/>
      <c r="W21" s="25"/>
      <c r="X21" s="25"/>
      <c r="Y21" s="25"/>
      <c r="Z21" s="25"/>
    </row>
    <row r="22">
      <c r="A22" s="25"/>
      <c r="B22" s="25"/>
      <c r="C22" s="31">
        <f t="shared" ref="C22:G22" si="10">((C13-$H13)/SQRT($I13+$G$18))</f>
        <v>-1.269799143</v>
      </c>
      <c r="D22" s="32">
        <f t="shared" si="10"/>
        <v>-0.3483198423</v>
      </c>
      <c r="E22" s="32">
        <f t="shared" si="10"/>
        <v>1.11141429</v>
      </c>
      <c r="F22" s="32">
        <f t="shared" si="10"/>
        <v>-0.4184611965</v>
      </c>
      <c r="G22" s="33">
        <f t="shared" si="10"/>
        <v>0.9251658913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6"/>
      <c r="T22" s="27"/>
      <c r="U22" s="25"/>
      <c r="V22" s="25"/>
      <c r="W22" s="25"/>
      <c r="X22" s="25"/>
      <c r="Y22" s="25"/>
      <c r="Z22" s="25"/>
    </row>
    <row r="23">
      <c r="A23" s="25"/>
      <c r="B23" s="25"/>
      <c r="C23" s="31">
        <f t="shared" ref="C23:G23" si="11">((C14-$H14)/SQRT($I14+$G$18))</f>
        <v>0.4738841746</v>
      </c>
      <c r="D23" s="32">
        <f t="shared" si="11"/>
        <v>1.491182779</v>
      </c>
      <c r="E23" s="32">
        <f t="shared" si="11"/>
        <v>-0.610962268</v>
      </c>
      <c r="F23" s="32">
        <f t="shared" si="11"/>
        <v>-1.038807139</v>
      </c>
      <c r="G23" s="33">
        <f t="shared" si="11"/>
        <v>-0.3152975473</v>
      </c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6"/>
      <c r="T23" s="27"/>
      <c r="U23" s="25"/>
      <c r="V23" s="25"/>
      <c r="W23" s="25"/>
      <c r="X23" s="25"/>
      <c r="Y23" s="25"/>
      <c r="Z23" s="25"/>
    </row>
    <row r="24">
      <c r="A24" s="25"/>
      <c r="B24" s="25"/>
      <c r="C24" s="34">
        <f t="shared" ref="C24:G24" si="12">((C15-$H15)/SQRT($I15+$G$18))</f>
        <v>-0.8235926598</v>
      </c>
      <c r="D24" s="35">
        <f t="shared" si="12"/>
        <v>-0.5273028351</v>
      </c>
      <c r="E24" s="35">
        <f t="shared" si="12"/>
        <v>0.3393517333</v>
      </c>
      <c r="F24" s="35">
        <f t="shared" si="12"/>
        <v>-0.5935180857</v>
      </c>
      <c r="G24" s="36">
        <f t="shared" si="12"/>
        <v>1.605061847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6"/>
      <c r="T24" s="27"/>
      <c r="U24" s="25"/>
      <c r="V24" s="25"/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5"/>
      <c r="T25" s="6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5"/>
      <c r="T26" s="6"/>
      <c r="U26" s="2"/>
      <c r="V26" s="2"/>
      <c r="W26" s="2"/>
      <c r="X26" s="2"/>
      <c r="Y26" s="2"/>
      <c r="Z26" s="2"/>
    </row>
    <row r="27">
      <c r="A27" s="37" t="s">
        <v>9</v>
      </c>
      <c r="E27" s="2"/>
      <c r="F27" s="23" t="s">
        <v>10</v>
      </c>
      <c r="G27" s="38">
        <v>0.5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5"/>
      <c r="T27" s="6"/>
      <c r="U27" s="2"/>
      <c r="V27" s="2"/>
      <c r="W27" s="2"/>
      <c r="X27" s="2"/>
      <c r="Y27" s="2"/>
      <c r="Z27" s="2"/>
    </row>
    <row r="28">
      <c r="E28" s="2"/>
      <c r="F28" s="23" t="s">
        <v>11</v>
      </c>
      <c r="G28" s="38">
        <v>0.1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5"/>
      <c r="T28" s="6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5"/>
      <c r="T29" s="6"/>
      <c r="U29" s="2"/>
      <c r="V29" s="2"/>
      <c r="W29" s="2"/>
      <c r="X29" s="2"/>
      <c r="Y29" s="2"/>
      <c r="Z29" s="2"/>
    </row>
    <row r="30">
      <c r="B30" s="23" t="s">
        <v>12</v>
      </c>
      <c r="C30" s="39">
        <f t="shared" ref="C30:G30" si="13">$G$27*C20+$G$28</f>
        <v>0.03774202877</v>
      </c>
      <c r="D30" s="40">
        <f t="shared" si="13"/>
        <v>-0.3642645692</v>
      </c>
      <c r="E30" s="40">
        <f t="shared" si="13"/>
        <v>0.8874698781</v>
      </c>
      <c r="F30" s="40">
        <f t="shared" si="13"/>
        <v>0.2209490721</v>
      </c>
      <c r="G30" s="41">
        <f t="shared" si="13"/>
        <v>-0.2818964098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5"/>
      <c r="T30" s="6"/>
      <c r="U30" s="2"/>
      <c r="V30" s="2"/>
      <c r="W30" s="2"/>
      <c r="Z30" s="2"/>
    </row>
    <row r="31">
      <c r="B31" s="1"/>
      <c r="C31" s="42">
        <f t="shared" ref="C31:G31" si="14">$G$27*C21+$G$28</f>
        <v>0.3712832524</v>
      </c>
      <c r="D31" s="43">
        <f t="shared" si="14"/>
        <v>-0.06051009711</v>
      </c>
      <c r="E31" s="43">
        <f t="shared" si="14"/>
        <v>-0.299316214</v>
      </c>
      <c r="F31" s="43">
        <f t="shared" si="14"/>
        <v>0.8356935101</v>
      </c>
      <c r="G31" s="44">
        <f t="shared" si="14"/>
        <v>-0.3471504513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5"/>
      <c r="T31" s="6"/>
      <c r="U31" s="2"/>
      <c r="V31" s="2"/>
      <c r="W31" s="2"/>
      <c r="Z31" s="2"/>
    </row>
    <row r="32">
      <c r="B32" s="1"/>
      <c r="C32" s="42">
        <f t="shared" ref="C32:G32" si="15">$G$27*C22+$G$28</f>
        <v>-0.5348995714</v>
      </c>
      <c r="D32" s="43">
        <f t="shared" si="15"/>
        <v>-0.07415992117</v>
      </c>
      <c r="E32" s="43">
        <f t="shared" si="15"/>
        <v>0.6557071452</v>
      </c>
      <c r="F32" s="43">
        <f t="shared" si="15"/>
        <v>-0.1092305983</v>
      </c>
      <c r="G32" s="44">
        <f t="shared" si="15"/>
        <v>0.5625829456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5"/>
      <c r="T32" s="6"/>
      <c r="U32" s="2"/>
      <c r="V32" s="2"/>
      <c r="W32" s="2"/>
      <c r="X32" s="2"/>
      <c r="Y32" s="2"/>
      <c r="Z32" s="2"/>
    </row>
    <row r="33">
      <c r="B33" s="1"/>
      <c r="C33" s="42">
        <f t="shared" ref="C33:G33" si="16">$G$27*C23+$G$28</f>
        <v>0.3369420873</v>
      </c>
      <c r="D33" s="43">
        <f t="shared" si="16"/>
        <v>0.8455913897</v>
      </c>
      <c r="E33" s="43">
        <f t="shared" si="16"/>
        <v>-0.205481134</v>
      </c>
      <c r="F33" s="43">
        <f t="shared" si="16"/>
        <v>-0.4194035693</v>
      </c>
      <c r="G33" s="44">
        <f t="shared" si="16"/>
        <v>-0.05764877367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5"/>
      <c r="T33" s="6"/>
      <c r="U33" s="2"/>
      <c r="V33" s="2"/>
      <c r="W33" s="2"/>
      <c r="X33" s="2"/>
      <c r="Y33" s="2"/>
      <c r="Z33" s="2"/>
    </row>
    <row r="34">
      <c r="B34" s="1"/>
      <c r="C34" s="45">
        <f t="shared" ref="C34:G34" si="17">$G$27*C24+$G$28</f>
        <v>-0.3117963299</v>
      </c>
      <c r="D34" s="46">
        <f t="shared" si="17"/>
        <v>-0.1636514175</v>
      </c>
      <c r="E34" s="46">
        <f t="shared" si="17"/>
        <v>0.2696758666</v>
      </c>
      <c r="F34" s="46">
        <f t="shared" si="17"/>
        <v>-0.1967590429</v>
      </c>
      <c r="G34" s="47">
        <f t="shared" si="17"/>
        <v>0.9025309237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5"/>
      <c r="T34" s="6"/>
      <c r="U34" s="2"/>
      <c r="V34" s="2"/>
      <c r="W34" s="2"/>
      <c r="X34" s="2"/>
      <c r="Y34" s="2"/>
      <c r="Z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5"/>
      <c r="T35" s="6"/>
      <c r="U35" s="2"/>
      <c r="V35" s="2"/>
      <c r="W35" s="2"/>
      <c r="X35" s="2"/>
      <c r="Y35" s="2"/>
      <c r="Z35" s="2"/>
    </row>
    <row r="36"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5"/>
      <c r="T36" s="6"/>
      <c r="U36" s="2"/>
      <c r="V36" s="2"/>
      <c r="W36" s="2"/>
      <c r="X36" s="2"/>
      <c r="Y36" s="2"/>
      <c r="Z36" s="2"/>
    </row>
    <row r="37">
      <c r="A37" s="3" t="s">
        <v>13</v>
      </c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11" t="s">
        <v>4</v>
      </c>
      <c r="C46" s="48">
        <f t="shared" ref="C46:G46" si="18">Rand()</f>
        <v>0.855476884</v>
      </c>
      <c r="D46" s="49">
        <f t="shared" si="18"/>
        <v>0.04617947533</v>
      </c>
      <c r="E46" s="50">
        <f t="shared" si="18"/>
        <v>0.1174804339</v>
      </c>
      <c r="F46" s="51">
        <f t="shared" si="18"/>
        <v>0.3093381631</v>
      </c>
      <c r="G46" s="52">
        <f t="shared" si="18"/>
        <v>0.8805160693</v>
      </c>
      <c r="H46" s="53"/>
      <c r="I46" s="53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54">
        <f t="shared" ref="C47:G47" si="19">Rand()</f>
        <v>0.5582644438</v>
      </c>
      <c r="D47" s="55">
        <f t="shared" si="19"/>
        <v>0.01607406429</v>
      </c>
      <c r="E47" s="56">
        <f t="shared" si="19"/>
        <v>0.2429321664</v>
      </c>
      <c r="F47" s="57">
        <f t="shared" si="19"/>
        <v>0.2807837823</v>
      </c>
      <c r="G47" s="58">
        <f t="shared" si="19"/>
        <v>0.9437932233</v>
      </c>
      <c r="H47" s="53"/>
      <c r="I47" s="53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59">
        <f t="shared" ref="C48:G48" si="20">Rand()</f>
        <v>0.3634607097</v>
      </c>
      <c r="D48" s="60">
        <f t="shared" si="20"/>
        <v>0.5013570212</v>
      </c>
      <c r="E48" s="61">
        <f t="shared" si="20"/>
        <v>0.2910704995</v>
      </c>
      <c r="F48" s="62">
        <f t="shared" si="20"/>
        <v>0.5202154608</v>
      </c>
      <c r="G48" s="63">
        <f t="shared" si="20"/>
        <v>0.8598604112</v>
      </c>
      <c r="H48" s="53"/>
      <c r="I48" s="53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64">
        <f t="shared" ref="C49:G49" si="21">Rand()</f>
        <v>0.3622003642</v>
      </c>
      <c r="D49" s="65">
        <f t="shared" si="21"/>
        <v>0.4228833436</v>
      </c>
      <c r="E49" s="66">
        <f t="shared" si="21"/>
        <v>0.5996718922</v>
      </c>
      <c r="F49" s="67">
        <f t="shared" si="21"/>
        <v>0.7295914633</v>
      </c>
      <c r="G49" s="68">
        <f t="shared" si="21"/>
        <v>0.5931755425</v>
      </c>
      <c r="H49" s="53"/>
      <c r="I49" s="53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69">
        <f t="shared" ref="C50:G50" si="22">Rand()</f>
        <v>0.4821023349</v>
      </c>
      <c r="D50" s="70">
        <f t="shared" si="22"/>
        <v>0.4837396614</v>
      </c>
      <c r="E50" s="71">
        <f t="shared" si="22"/>
        <v>0.5932247444</v>
      </c>
      <c r="F50" s="72">
        <f t="shared" si="22"/>
        <v>0.7685635977</v>
      </c>
      <c r="G50" s="73">
        <f t="shared" si="22"/>
        <v>0.8021070942</v>
      </c>
      <c r="H50" s="53"/>
      <c r="I50" s="53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74" t="s">
        <v>2</v>
      </c>
      <c r="C51" s="53">
        <f t="shared" ref="C51:G51" si="23">AVERAGE(C46:C50)</f>
        <v>0.5243009473</v>
      </c>
      <c r="D51" s="53">
        <f t="shared" si="23"/>
        <v>0.2940467132</v>
      </c>
      <c r="E51" s="53">
        <f t="shared" si="23"/>
        <v>0.3688759473</v>
      </c>
      <c r="F51" s="53">
        <f t="shared" si="23"/>
        <v>0.5216984934</v>
      </c>
      <c r="G51" s="53">
        <f t="shared" si="23"/>
        <v>0.8158904681</v>
      </c>
      <c r="H51" s="75" t="s">
        <v>1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76" t="s">
        <v>3</v>
      </c>
      <c r="C52" s="53">
        <f t="shared" ref="C52:G52" si="24">Var(C46:C50)</f>
        <v>0.04118948102</v>
      </c>
      <c r="D52" s="53">
        <f t="shared" si="24"/>
        <v>0.05856670422</v>
      </c>
      <c r="E52" s="53">
        <f t="shared" si="24"/>
        <v>0.04717859469</v>
      </c>
      <c r="F52" s="53">
        <f t="shared" si="24"/>
        <v>0.05182521849</v>
      </c>
      <c r="G52" s="53">
        <f t="shared" si="24"/>
        <v>0.01806521462</v>
      </c>
      <c r="H52" s="77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78"/>
      <c r="B54" s="78"/>
      <c r="C54" s="78"/>
      <c r="D54" s="78"/>
      <c r="E54" s="25"/>
      <c r="F54" s="79"/>
      <c r="G54" s="80"/>
      <c r="H54" s="80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78" t="s">
        <v>5</v>
      </c>
      <c r="E55" s="25"/>
      <c r="F55" s="79" t="s">
        <v>6</v>
      </c>
      <c r="G55" s="80">
        <f>1E-16</f>
        <v>0</v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81"/>
      <c r="T56" s="82"/>
      <c r="U56" s="25"/>
      <c r="V56" s="25"/>
      <c r="W56" s="25"/>
      <c r="X56" s="25"/>
      <c r="Y56" s="25"/>
      <c r="Z56" s="25"/>
    </row>
    <row r="57">
      <c r="A57" s="25"/>
      <c r="B57" s="79" t="s">
        <v>7</v>
      </c>
      <c r="C57" s="83">
        <f t="shared" ref="C57:G57" si="25">((C46-C$51)/SQRT(C$52+$G$55))</f>
        <v>1.631795057</v>
      </c>
      <c r="D57" s="84">
        <f t="shared" si="25"/>
        <v>-1.024221138</v>
      </c>
      <c r="E57" s="84">
        <f t="shared" si="25"/>
        <v>-1.157404116</v>
      </c>
      <c r="F57" s="84">
        <f t="shared" si="25"/>
        <v>-0.9328306804</v>
      </c>
      <c r="G57" s="85">
        <f t="shared" si="25"/>
        <v>0.4808205639</v>
      </c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81"/>
      <c r="T57" s="82"/>
      <c r="U57" s="25"/>
      <c r="V57" s="25"/>
      <c r="W57" s="25"/>
      <c r="X57" s="25"/>
      <c r="Y57" s="25"/>
      <c r="Z57" s="25"/>
    </row>
    <row r="58">
      <c r="A58" s="25"/>
      <c r="B58" s="11" t="s">
        <v>14</v>
      </c>
      <c r="C58" s="86">
        <f t="shared" ref="C58:G58" si="26">((C47-C$51)/SQRT(C$52+$G$55))</f>
        <v>0.167347502</v>
      </c>
      <c r="D58" s="87">
        <f t="shared" si="26"/>
        <v>-1.148620791</v>
      </c>
      <c r="E58" s="87">
        <f t="shared" si="26"/>
        <v>-0.579834733</v>
      </c>
      <c r="F58" s="87">
        <f t="shared" si="26"/>
        <v>-1.058260898</v>
      </c>
      <c r="G58" s="88">
        <f t="shared" si="26"/>
        <v>0.9516085539</v>
      </c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81"/>
      <c r="T58" s="82"/>
      <c r="U58" s="25"/>
      <c r="V58" s="25"/>
      <c r="W58" s="25"/>
      <c r="X58" s="25"/>
      <c r="Y58" s="25"/>
      <c r="Z58" s="25"/>
    </row>
    <row r="59">
      <c r="A59" s="25"/>
      <c r="B59" s="25"/>
      <c r="C59" s="86">
        <f t="shared" ref="C59:G59" si="27">((C48-C$51)/SQRT(C$52+$G$55))</f>
        <v>-0.7925041517</v>
      </c>
      <c r="D59" s="87">
        <f t="shared" si="27"/>
        <v>0.8566343879</v>
      </c>
      <c r="E59" s="87">
        <f t="shared" si="27"/>
        <v>-0.3582098353</v>
      </c>
      <c r="F59" s="87">
        <f t="shared" si="27"/>
        <v>-0.006514485873</v>
      </c>
      <c r="G59" s="88">
        <f t="shared" si="27"/>
        <v>0.3271405207</v>
      </c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81"/>
      <c r="T59" s="82"/>
      <c r="U59" s="25"/>
      <c r="V59" s="25"/>
      <c r="W59" s="25"/>
      <c r="X59" s="25"/>
      <c r="Y59" s="25"/>
      <c r="Z59" s="25"/>
    </row>
    <row r="60">
      <c r="A60" s="25"/>
      <c r="B60" s="25"/>
      <c r="C60" s="86">
        <f t="shared" ref="C60:G60" si="28">((C49-C$51)/SQRT(C$52+$G$55))</f>
        <v>-0.7987142212</v>
      </c>
      <c r="D60" s="87">
        <f t="shared" si="28"/>
        <v>0.5323704792</v>
      </c>
      <c r="E60" s="87">
        <f t="shared" si="28"/>
        <v>1.062565409</v>
      </c>
      <c r="F60" s="87">
        <f t="shared" si="28"/>
        <v>0.9132070015</v>
      </c>
      <c r="G60" s="88">
        <f t="shared" si="28"/>
        <v>-1.657020037</v>
      </c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81"/>
      <c r="T60" s="82"/>
      <c r="U60" s="25"/>
      <c r="V60" s="25"/>
      <c r="W60" s="25"/>
      <c r="X60" s="25"/>
      <c r="Y60" s="25"/>
      <c r="Z60" s="25"/>
    </row>
    <row r="61">
      <c r="A61" s="25"/>
      <c r="B61" s="25"/>
      <c r="C61" s="89">
        <f t="shared" ref="C61:G61" si="29">((C50-C$51)/SQRT(C$52+$G$55))</f>
        <v>-0.2079241864</v>
      </c>
      <c r="D61" s="90">
        <f t="shared" si="29"/>
        <v>0.7838370613</v>
      </c>
      <c r="E61" s="90">
        <f t="shared" si="29"/>
        <v>1.032883275</v>
      </c>
      <c r="F61" s="90">
        <f t="shared" si="29"/>
        <v>1.084399063</v>
      </c>
      <c r="G61" s="91">
        <f t="shared" si="29"/>
        <v>-0.1025496012</v>
      </c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81"/>
      <c r="T61" s="82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92" t="s">
        <v>9</v>
      </c>
      <c r="E64" s="25"/>
      <c r="F64" s="79" t="s">
        <v>10</v>
      </c>
      <c r="G64" s="93">
        <v>0.5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E65" s="25"/>
      <c r="F65" s="79" t="s">
        <v>11</v>
      </c>
      <c r="G65" s="94">
        <v>-0.1</v>
      </c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11" t="s">
        <v>15</v>
      </c>
      <c r="C67" s="28">
        <f t="shared" ref="C67:G67" si="30">$G$64*C57+$G$65</f>
        <v>0.7158975286</v>
      </c>
      <c r="D67" s="29">
        <f t="shared" si="30"/>
        <v>-0.6121105689</v>
      </c>
      <c r="E67" s="29">
        <f t="shared" si="30"/>
        <v>-0.678702058</v>
      </c>
      <c r="F67" s="29">
        <f t="shared" si="30"/>
        <v>-0.5664153402</v>
      </c>
      <c r="G67" s="30">
        <f t="shared" si="30"/>
        <v>0.140410282</v>
      </c>
      <c r="H67" s="25"/>
      <c r="I67" s="25"/>
      <c r="J67" s="9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31">
        <f t="shared" ref="C68:G68" si="31">$G$64*C58+$G$65</f>
        <v>-0.016326249</v>
      </c>
      <c r="D68" s="32">
        <f t="shared" si="31"/>
        <v>-0.6743103953</v>
      </c>
      <c r="E68" s="32">
        <f t="shared" si="31"/>
        <v>-0.3899173665</v>
      </c>
      <c r="F68" s="32">
        <f t="shared" si="31"/>
        <v>-0.629130449</v>
      </c>
      <c r="G68" s="33">
        <f t="shared" si="31"/>
        <v>0.375804277</v>
      </c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31">
        <f t="shared" ref="C69:G69" si="32">$G$64*C59+$G$65</f>
        <v>-0.4962520758</v>
      </c>
      <c r="D69" s="32">
        <f t="shared" si="32"/>
        <v>0.3283171939</v>
      </c>
      <c r="E69" s="32">
        <f t="shared" si="32"/>
        <v>-0.2791049176</v>
      </c>
      <c r="F69" s="32">
        <f t="shared" si="32"/>
        <v>-0.1032572429</v>
      </c>
      <c r="G69" s="33">
        <f t="shared" si="32"/>
        <v>0.06357026035</v>
      </c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31">
        <f t="shared" ref="C70:G70" si="33">$G$64*C60+$G$65</f>
        <v>-0.4993571106</v>
      </c>
      <c r="D70" s="32">
        <f t="shared" si="33"/>
        <v>0.1661852396</v>
      </c>
      <c r="E70" s="32">
        <f t="shared" si="33"/>
        <v>0.4312827047</v>
      </c>
      <c r="F70" s="32">
        <f t="shared" si="33"/>
        <v>0.3566035008</v>
      </c>
      <c r="G70" s="33">
        <f t="shared" si="33"/>
        <v>-0.9285100187</v>
      </c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34">
        <f t="shared" ref="C71:G71" si="34">$G$64*C61+$G$65</f>
        <v>-0.2039620932</v>
      </c>
      <c r="D71" s="35">
        <f t="shared" si="34"/>
        <v>0.2919185307</v>
      </c>
      <c r="E71" s="35">
        <f t="shared" si="34"/>
        <v>0.4164416374</v>
      </c>
      <c r="F71" s="35">
        <f t="shared" si="34"/>
        <v>0.4421995314</v>
      </c>
      <c r="G71" s="36">
        <f t="shared" si="34"/>
        <v>-0.1512748006</v>
      </c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3" t="s">
        <v>16</v>
      </c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C81" s="1"/>
      <c r="D81" s="2"/>
      <c r="E81" s="2"/>
      <c r="F81" s="2"/>
      <c r="G81" s="7" t="s">
        <v>1</v>
      </c>
      <c r="H81" s="8"/>
      <c r="I81" s="8"/>
      <c r="J81" s="8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I82" s="9" t="s">
        <v>17</v>
      </c>
      <c r="J82" s="142"/>
      <c r="K82" s="2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C83" s="11" t="s">
        <v>4</v>
      </c>
      <c r="D83" s="12">
        <f t="shared" ref="D83:H83" si="35">Rand()</f>
        <v>0.5440697587</v>
      </c>
      <c r="E83" s="13">
        <f t="shared" si="35"/>
        <v>0.1152562886</v>
      </c>
      <c r="F83" s="13">
        <f t="shared" si="35"/>
        <v>0.4367702129</v>
      </c>
      <c r="G83" s="13">
        <f t="shared" si="35"/>
        <v>0.2724445799</v>
      </c>
      <c r="H83" s="14">
        <f t="shared" si="35"/>
        <v>0.6453995817</v>
      </c>
      <c r="I83" s="16">
        <f t="shared" ref="I83:I87" si="37">SUMSQ(D83:H83)</f>
        <v>0.9908308026</v>
      </c>
      <c r="J83" s="16"/>
      <c r="K83" s="2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C84" s="1"/>
      <c r="D84" s="17">
        <f t="shared" ref="D84:H84" si="36">Rand()</f>
        <v>0.701594835</v>
      </c>
      <c r="E84" s="16">
        <f t="shared" si="36"/>
        <v>0.950063708</v>
      </c>
      <c r="F84" s="16">
        <f t="shared" si="36"/>
        <v>0.3394310428</v>
      </c>
      <c r="G84" s="16">
        <f t="shared" si="36"/>
        <v>0.8371143147</v>
      </c>
      <c r="H84" s="18">
        <f t="shared" si="36"/>
        <v>0.6545200896</v>
      </c>
      <c r="I84" s="16">
        <f t="shared" si="37"/>
        <v>2.639226718</v>
      </c>
      <c r="J84" s="16"/>
      <c r="K84" s="2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C85" s="1"/>
      <c r="D85" s="17">
        <f t="shared" ref="D85:H85" si="38">Rand()</f>
        <v>0.2207955382</v>
      </c>
      <c r="E85" s="16">
        <f t="shared" si="38"/>
        <v>0.2852682029</v>
      </c>
      <c r="F85" s="16">
        <f t="shared" si="38"/>
        <v>0.7154742431</v>
      </c>
      <c r="G85" s="16">
        <f t="shared" si="38"/>
        <v>0.4916102421</v>
      </c>
      <c r="H85" s="18">
        <f t="shared" si="38"/>
        <v>0.7071911703</v>
      </c>
      <c r="I85" s="16">
        <f t="shared" si="37"/>
        <v>1.383831991</v>
      </c>
      <c r="J85" s="16"/>
      <c r="K85" s="2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C86" s="1"/>
      <c r="D86" s="17">
        <f t="shared" ref="D86:H86" si="39">Rand()</f>
        <v>0.8363998447</v>
      </c>
      <c r="E86" s="16">
        <f t="shared" si="39"/>
        <v>0.945894191</v>
      </c>
      <c r="F86" s="16">
        <f t="shared" si="39"/>
        <v>0.09619066354</v>
      </c>
      <c r="G86" s="16">
        <f t="shared" si="39"/>
        <v>0.075276845</v>
      </c>
      <c r="H86" s="18">
        <f t="shared" si="39"/>
        <v>0.4450620562</v>
      </c>
      <c r="I86" s="16">
        <f t="shared" si="37"/>
        <v>1.807280002</v>
      </c>
      <c r="J86" s="16"/>
      <c r="K86" s="2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C87" s="1"/>
      <c r="D87" s="19">
        <f t="shared" ref="D87:H87" si="40">Rand()</f>
        <v>0.9817978181</v>
      </c>
      <c r="E87" s="20">
        <f t="shared" si="40"/>
        <v>0.7585417755</v>
      </c>
      <c r="F87" s="20">
        <f t="shared" si="40"/>
        <v>0.5167469705</v>
      </c>
      <c r="G87" s="20">
        <f t="shared" si="40"/>
        <v>0.603491556</v>
      </c>
      <c r="H87" s="21">
        <f t="shared" si="40"/>
        <v>0.5198544329</v>
      </c>
      <c r="I87" s="16">
        <f t="shared" si="37"/>
        <v>2.440790702</v>
      </c>
      <c r="J87" s="16"/>
      <c r="K87" s="2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J88" s="2"/>
      <c r="K88" s="2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J89" s="2"/>
      <c r="K89" s="2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2" t="s">
        <v>5</v>
      </c>
      <c r="G90" s="23" t="s">
        <v>6</v>
      </c>
      <c r="H90" s="24">
        <f>1E-16</f>
        <v>0</v>
      </c>
      <c r="J90" s="2"/>
      <c r="K90" s="2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81"/>
      <c r="C92" s="143" t="s">
        <v>19</v>
      </c>
      <c r="D92" s="144">
        <f t="shared" ref="D92:H92" si="41">(D83)/($I83+$H$90)</f>
        <v>0.5491046073</v>
      </c>
      <c r="E92" s="145">
        <f t="shared" si="41"/>
        <v>0.1163228761</v>
      </c>
      <c r="F92" s="145">
        <f t="shared" si="41"/>
        <v>0.4408121062</v>
      </c>
      <c r="G92" s="145">
        <f t="shared" si="41"/>
        <v>0.2749657955</v>
      </c>
      <c r="H92" s="146">
        <f t="shared" si="41"/>
        <v>0.6513721415</v>
      </c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81"/>
      <c r="C93" s="143" t="s">
        <v>8</v>
      </c>
      <c r="D93" s="147">
        <f t="shared" ref="D93:H93" si="42">(D84)/($I84+$H$90)</f>
        <v>0.2658334846</v>
      </c>
      <c r="E93" s="53">
        <f t="shared" si="42"/>
        <v>0.3599780577</v>
      </c>
      <c r="F93" s="53">
        <f t="shared" si="42"/>
        <v>0.1286100358</v>
      </c>
      <c r="G93" s="53">
        <f t="shared" si="42"/>
        <v>0.3171816612</v>
      </c>
      <c r="H93" s="148">
        <f t="shared" si="42"/>
        <v>0.2479969171</v>
      </c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81"/>
      <c r="C94" s="81"/>
      <c r="D94" s="147">
        <f t="shared" ref="D94:H94" si="43">(D85)/($I85+$H$90)</f>
        <v>0.1595537172</v>
      </c>
      <c r="E94" s="53">
        <f t="shared" si="43"/>
        <v>0.2061436682</v>
      </c>
      <c r="F94" s="53">
        <f t="shared" si="43"/>
        <v>0.5170239217</v>
      </c>
      <c r="G94" s="53">
        <f t="shared" si="43"/>
        <v>0.3552528379</v>
      </c>
      <c r="H94" s="148">
        <f t="shared" si="43"/>
        <v>0.5110383159</v>
      </c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81"/>
      <c r="C95" s="81"/>
      <c r="D95" s="147">
        <f t="shared" ref="D95:H95" si="44">(D86)/($I86+$H$90)</f>
        <v>0.4627948319</v>
      </c>
      <c r="E95" s="53">
        <f t="shared" si="44"/>
        <v>0.523379991</v>
      </c>
      <c r="F95" s="53">
        <f t="shared" si="44"/>
        <v>0.05322399598</v>
      </c>
      <c r="G95" s="53">
        <f t="shared" si="44"/>
        <v>0.04165201016</v>
      </c>
      <c r="H95" s="148">
        <f t="shared" si="44"/>
        <v>0.2462607099</v>
      </c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81"/>
      <c r="C96" s="81"/>
      <c r="D96" s="149">
        <f t="shared" ref="D96:H96" si="45">(D87)/($I87+$H$90)</f>
        <v>0.4022458039</v>
      </c>
      <c r="E96" s="150">
        <f t="shared" si="45"/>
        <v>0.310777067</v>
      </c>
      <c r="F96" s="150">
        <f t="shared" si="45"/>
        <v>0.211712938</v>
      </c>
      <c r="G96" s="150">
        <f t="shared" si="45"/>
        <v>0.2472524808</v>
      </c>
      <c r="H96" s="151">
        <f t="shared" si="45"/>
        <v>0.2129860756</v>
      </c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152"/>
      <c r="C97" s="153"/>
      <c r="D97" s="16"/>
      <c r="E97" s="16"/>
      <c r="F97" s="16"/>
      <c r="G97" s="16"/>
      <c r="H97" s="16"/>
      <c r="I97" s="2"/>
      <c r="J97" s="2"/>
      <c r="K97" s="2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152"/>
      <c r="C98" s="153"/>
      <c r="D98" s="16"/>
      <c r="E98" s="16"/>
      <c r="F98" s="16"/>
      <c r="G98" s="16"/>
      <c r="H98" s="16"/>
      <c r="I98" s="2"/>
      <c r="J98" s="2"/>
      <c r="K98" s="2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154" t="s">
        <v>9</v>
      </c>
      <c r="F99" s="16"/>
      <c r="G99" s="155" t="s">
        <v>10</v>
      </c>
      <c r="H99" s="156">
        <v>0.5</v>
      </c>
      <c r="I99" s="2"/>
      <c r="J99" s="2"/>
      <c r="K99" s="2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F100" s="16"/>
      <c r="G100" s="155"/>
      <c r="H100" s="15"/>
      <c r="I100" s="2"/>
      <c r="J100" s="2"/>
      <c r="K100" s="2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152"/>
      <c r="C101" s="153"/>
      <c r="D101" s="16"/>
      <c r="E101" s="16"/>
      <c r="F101" s="16"/>
      <c r="G101" s="16"/>
      <c r="H101" s="16"/>
      <c r="I101" s="2"/>
      <c r="J101" s="2"/>
      <c r="K101" s="2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152"/>
      <c r="C102" s="155" t="s">
        <v>21</v>
      </c>
      <c r="D102" s="12">
        <f t="array" ref="D102:H106">H99*D92:H96</f>
        <v>0.2745523036</v>
      </c>
      <c r="E102" s="13">
        <v>0.05816143802752984</v>
      </c>
      <c r="F102" s="13">
        <v>0.22040605308913122</v>
      </c>
      <c r="G102" s="13">
        <v>0.13748289776714456</v>
      </c>
      <c r="H102" s="14">
        <v>0.325686070756172</v>
      </c>
      <c r="I102" s="2"/>
      <c r="J102" s="2"/>
      <c r="K102" s="2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152"/>
      <c r="C103" s="153"/>
      <c r="D103" s="17">
        <v>0.1329167422769912</v>
      </c>
      <c r="E103" s="16">
        <v>0.17998902887270268</v>
      </c>
      <c r="F103" s="16">
        <v>0.06430501791779542</v>
      </c>
      <c r="G103" s="16">
        <v>0.15859083059310772</v>
      </c>
      <c r="H103" s="18">
        <v>0.123998458541021</v>
      </c>
      <c r="I103" s="2"/>
      <c r="J103" s="2"/>
      <c r="K103" s="2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152"/>
      <c r="C104" s="153"/>
      <c r="D104" s="17">
        <v>0.0797768586184027</v>
      </c>
      <c r="E104" s="16">
        <v>0.10307183411035528</v>
      </c>
      <c r="F104" s="16">
        <v>0.25851196084574063</v>
      </c>
      <c r="G104" s="16">
        <v>0.1776264189504195</v>
      </c>
      <c r="H104" s="18">
        <v>0.25551915795036434</v>
      </c>
      <c r="I104" s="2"/>
      <c r="J104" s="2"/>
      <c r="K104" s="2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152"/>
      <c r="C105" s="153"/>
      <c r="D105" s="17">
        <v>0.23139741596469518</v>
      </c>
      <c r="E105" s="16">
        <v>0.26168999548662114</v>
      </c>
      <c r="F105" s="16">
        <v>0.026611997988098986</v>
      </c>
      <c r="G105" s="16">
        <v>0.020826005082114428</v>
      </c>
      <c r="H105" s="18">
        <v>0.12313035493928524</v>
      </c>
      <c r="I105" s="2"/>
      <c r="J105" s="2"/>
      <c r="K105" s="2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152"/>
      <c r="C106" s="153"/>
      <c r="D106" s="19">
        <v>0.2011229019640351</v>
      </c>
      <c r="E106" s="20">
        <v>0.15538853350712198</v>
      </c>
      <c r="F106" s="20">
        <v>0.10585646898715756</v>
      </c>
      <c r="G106" s="20">
        <v>0.12362624037912609</v>
      </c>
      <c r="H106" s="21">
        <v>0.1064930377873414</v>
      </c>
      <c r="I106" s="2"/>
      <c r="J106" s="2"/>
      <c r="K106" s="2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5"/>
      <c r="T107" s="6"/>
      <c r="U107" s="2"/>
      <c r="V107" s="2"/>
      <c r="W107" s="2"/>
      <c r="X107" s="2"/>
      <c r="Y107" s="2"/>
      <c r="Z107" s="2"/>
    </row>
    <row r="108">
      <c r="A108" s="3" t="s">
        <v>22</v>
      </c>
    </row>
    <row r="109"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5"/>
      <c r="T109" s="6"/>
      <c r="U109" s="2"/>
      <c r="V109" s="2"/>
      <c r="W109" s="2"/>
      <c r="X109" s="2"/>
      <c r="Y109" s="2"/>
      <c r="Z109" s="2"/>
    </row>
    <row r="110">
      <c r="B110" s="11" t="s">
        <v>4</v>
      </c>
      <c r="C110" s="12">
        <f t="shared" ref="C110:G110" si="46">Rand()</f>
        <v>0.5479176967</v>
      </c>
      <c r="D110" s="13">
        <f t="shared" si="46"/>
        <v>0.09924244792</v>
      </c>
      <c r="E110" s="13">
        <f t="shared" si="46"/>
        <v>0.1403052621</v>
      </c>
      <c r="F110" s="13">
        <f t="shared" si="46"/>
        <v>0.3650371582</v>
      </c>
      <c r="G110" s="14">
        <f t="shared" si="46"/>
        <v>0.7303410841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5"/>
      <c r="T110" s="6"/>
      <c r="U110" s="2"/>
      <c r="V110" s="2"/>
      <c r="W110" s="2"/>
      <c r="X110" s="2"/>
      <c r="Y110" s="2"/>
      <c r="Z110" s="2"/>
    </row>
    <row r="111">
      <c r="B111" s="1"/>
      <c r="C111" s="17">
        <f t="shared" ref="C111:G111" si="47">Rand()</f>
        <v>0.4674912244</v>
      </c>
      <c r="D111" s="16">
        <f t="shared" si="47"/>
        <v>0.5691464693</v>
      </c>
      <c r="E111" s="16">
        <f t="shared" si="47"/>
        <v>0.3208137163</v>
      </c>
      <c r="F111" s="16">
        <f t="shared" si="47"/>
        <v>0.997094836</v>
      </c>
      <c r="G111" s="18">
        <f t="shared" si="47"/>
        <v>0.7630615234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5"/>
      <c r="T111" s="6"/>
      <c r="U111" s="2"/>
      <c r="V111" s="2"/>
      <c r="W111" s="2"/>
      <c r="X111" s="2"/>
      <c r="Y111" s="2"/>
      <c r="Z111" s="2"/>
    </row>
    <row r="112">
      <c r="B112" s="1"/>
      <c r="C112" s="17">
        <f t="shared" ref="C112:G112" si="48">Rand()</f>
        <v>0.09634759012</v>
      </c>
      <c r="D112" s="16">
        <f t="shared" si="48"/>
        <v>0.8489533438</v>
      </c>
      <c r="E112" s="16">
        <f t="shared" si="48"/>
        <v>0.4446373247</v>
      </c>
      <c r="F112" s="16">
        <f t="shared" si="48"/>
        <v>0.1771018846</v>
      </c>
      <c r="G112" s="18">
        <f t="shared" si="48"/>
        <v>0.211239071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5"/>
      <c r="T112" s="6"/>
      <c r="U112" s="2"/>
      <c r="V112" s="2"/>
      <c r="W112" s="2"/>
      <c r="X112" s="2"/>
      <c r="Y112" s="2"/>
      <c r="Z112" s="2"/>
    </row>
    <row r="113">
      <c r="B113" s="1"/>
      <c r="C113" s="17">
        <f t="shared" ref="C113:G113" si="49">Rand()</f>
        <v>0.967641393</v>
      </c>
      <c r="D113" s="16">
        <f t="shared" si="49"/>
        <v>0.4024260015</v>
      </c>
      <c r="E113" s="16">
        <f t="shared" si="49"/>
        <v>0.2866788361</v>
      </c>
      <c r="F113" s="16">
        <f t="shared" si="49"/>
        <v>0.7404661749</v>
      </c>
      <c r="G113" s="18">
        <f t="shared" si="49"/>
        <v>0.3275555838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5"/>
      <c r="T113" s="6"/>
      <c r="U113" s="2"/>
      <c r="V113" s="2"/>
      <c r="W113" s="2"/>
      <c r="X113" s="2"/>
      <c r="Y113" s="2"/>
      <c r="Z113" s="2"/>
    </row>
    <row r="114">
      <c r="B114" s="1"/>
      <c r="C114" s="19">
        <f t="shared" ref="C114:G114" si="50">Rand()</f>
        <v>0.9680185689</v>
      </c>
      <c r="D114" s="20">
        <f t="shared" si="50"/>
        <v>0.7436551351</v>
      </c>
      <c r="E114" s="20">
        <f t="shared" si="50"/>
        <v>0.2131972422</v>
      </c>
      <c r="F114" s="20">
        <f t="shared" si="50"/>
        <v>0.08739343863</v>
      </c>
      <c r="G114" s="21">
        <f t="shared" si="50"/>
        <v>0.7824400859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5"/>
      <c r="T114" s="6"/>
      <c r="U114" s="2"/>
      <c r="V114" s="2"/>
      <c r="W114" s="2"/>
      <c r="X114" s="2"/>
      <c r="Y114" s="2"/>
      <c r="Z114" s="2"/>
    </row>
    <row r="115"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5"/>
      <c r="T115" s="6"/>
      <c r="U115" s="2"/>
      <c r="V115" s="2"/>
      <c r="W115" s="2"/>
      <c r="X115" s="2"/>
      <c r="Y115" s="2"/>
      <c r="Z115" s="2"/>
    </row>
    <row r="116">
      <c r="C116" s="125" t="s">
        <v>21</v>
      </c>
      <c r="D116" s="2"/>
      <c r="E116" s="2"/>
      <c r="F116" s="2"/>
      <c r="G116" s="2"/>
      <c r="H116" s="2"/>
      <c r="J116" s="11" t="s">
        <v>15</v>
      </c>
      <c r="K116" s="2"/>
      <c r="L116" s="2"/>
      <c r="M116" s="2"/>
      <c r="N116" s="2"/>
      <c r="O116" s="125" t="s">
        <v>12</v>
      </c>
      <c r="P116" s="2"/>
      <c r="Q116" s="2"/>
      <c r="R116" s="2"/>
      <c r="S116" s="5"/>
      <c r="T116" s="6"/>
      <c r="U116" s="2"/>
      <c r="V116" s="2"/>
      <c r="W116" s="2"/>
      <c r="X116" s="2"/>
      <c r="Y116" s="2"/>
      <c r="Z116" s="2"/>
    </row>
    <row r="117">
      <c r="C117" s="157">
        <f t="array" ref="C117:G121">LET(x,C110:G114,rms,SQRT(MMULT(x^2,SEQUENCE(5,1,1/5,0))),x/rms)</f>
        <v>1.227393341</v>
      </c>
      <c r="D117" s="127">
        <v>0.2223135343451079</v>
      </c>
      <c r="E117" s="127">
        <v>0.3142985623239381</v>
      </c>
      <c r="F117" s="127">
        <v>0.8177216755889799</v>
      </c>
      <c r="G117" s="128">
        <v>1.6360409391413915</v>
      </c>
      <c r="H117" s="2"/>
      <c r="I117" s="12">
        <f t="array" ref="I117:M121">LET(x,C110:G114,mu,MMULT(SEQUENCE(1,5,1/5,0),x),c,x-mu,v,MMULT(SEQUENCE(1,5,1/5,0),c^2),c/SQRT(v))</f>
        <v>-0.1866335393</v>
      </c>
      <c r="J117" s="13">
        <v>-1.6366140147454082</v>
      </c>
      <c r="K117" s="13">
        <v>-1.3705372276423045</v>
      </c>
      <c r="L117" s="13">
        <v>-0.3144158397551426</v>
      </c>
      <c r="M117" s="14">
        <v>0.6888208076245863</v>
      </c>
      <c r="O117" s="158">
        <f t="shared" ref="O117:S117" si="51">(C110-AVERAGE($C110:$G110))/STDEVP($C110:$G110)</f>
        <v>0.7147254837</v>
      </c>
      <c r="P117" s="159">
        <f t="shared" si="51"/>
        <v>-1.156774765</v>
      </c>
      <c r="Q117" s="159">
        <f t="shared" si="51"/>
        <v>-0.9854948313</v>
      </c>
      <c r="R117" s="159">
        <f t="shared" si="51"/>
        <v>-0.04810013312</v>
      </c>
      <c r="S117" s="160">
        <f t="shared" si="51"/>
        <v>1.475644246</v>
      </c>
      <c r="T117" s="6"/>
      <c r="U117" s="2"/>
      <c r="V117" s="2"/>
      <c r="W117" s="2"/>
      <c r="X117" s="2"/>
      <c r="Y117" s="2"/>
      <c r="Z117" s="2"/>
    </row>
    <row r="118">
      <c r="C118" s="161">
        <v>0.7012942801398233</v>
      </c>
      <c r="D118" s="130">
        <v>0.8537896384713899</v>
      </c>
      <c r="E118" s="130">
        <v>0.481259994804723</v>
      </c>
      <c r="F118" s="130">
        <v>1.495764773181388</v>
      </c>
      <c r="G118" s="131">
        <v>1.1446860471728701</v>
      </c>
      <c r="H118" s="2"/>
      <c r="I118" s="17">
        <v>-0.43044303173781523</v>
      </c>
      <c r="J118" s="16">
        <v>0.1376743469081484</v>
      </c>
      <c r="K118" s="16">
        <v>0.38625458686851116</v>
      </c>
      <c r="L118" s="16">
        <v>1.5191892653347066</v>
      </c>
      <c r="M118" s="18">
        <v>0.8234485646164349</v>
      </c>
      <c r="O118" s="162">
        <f t="shared" ref="O118:S118" si="52">(C111-AVERAGE($C111:$G111))/STDEVP($C111:$G111)</f>
        <v>-0.6617605675</v>
      </c>
      <c r="P118" s="152">
        <f t="shared" si="52"/>
        <v>-0.2306172585</v>
      </c>
      <c r="Q118" s="152">
        <f t="shared" si="52"/>
        <v>-1.283853665</v>
      </c>
      <c r="R118" s="152">
        <f t="shared" si="52"/>
        <v>1.584410339</v>
      </c>
      <c r="S118" s="163">
        <f t="shared" si="52"/>
        <v>0.5918211525</v>
      </c>
      <c r="T118" s="6"/>
      <c r="U118" s="2"/>
      <c r="V118" s="2"/>
      <c r="W118" s="2"/>
      <c r="X118" s="2"/>
      <c r="Y118" s="2"/>
      <c r="Z118" s="2"/>
    </row>
    <row r="119">
      <c r="C119" s="161">
        <v>0.21504294160016788</v>
      </c>
      <c r="D119" s="130">
        <v>1.8948208677336065</v>
      </c>
      <c r="E119" s="130">
        <v>0.9924079899593047</v>
      </c>
      <c r="F119" s="130">
        <v>0.39528243693104315</v>
      </c>
      <c r="G119" s="131">
        <v>0.47147490812130927</v>
      </c>
      <c r="H119" s="2"/>
      <c r="I119" s="17">
        <v>-1.5555494613232093</v>
      </c>
      <c r="J119" s="16">
        <v>1.1941838856338618</v>
      </c>
      <c r="K119" s="16">
        <v>1.5913632487293237</v>
      </c>
      <c r="L119" s="16">
        <v>-0.8596177876241087</v>
      </c>
      <c r="M119" s="18">
        <v>-1.4470166451477977</v>
      </c>
      <c r="O119" s="162">
        <f t="shared" ref="O119:S119" si="53">(C112-AVERAGE($C112:$G112))/STDEVP($C112:$G112)</f>
        <v>-0.9516445549</v>
      </c>
      <c r="P119" s="152">
        <f t="shared" si="53"/>
        <v>1.810369997</v>
      </c>
      <c r="Q119" s="152">
        <f t="shared" si="53"/>
        <v>0.3265562968</v>
      </c>
      <c r="R119" s="152">
        <f t="shared" si="53"/>
        <v>-0.6552815053</v>
      </c>
      <c r="S119" s="163">
        <f t="shared" si="53"/>
        <v>-0.5300002339</v>
      </c>
      <c r="T119" s="6"/>
      <c r="U119" s="2"/>
      <c r="V119" s="2"/>
      <c r="W119" s="2"/>
      <c r="X119" s="2"/>
      <c r="Y119" s="2"/>
      <c r="Z119" s="2"/>
    </row>
    <row r="120">
      <c r="C120" s="161">
        <v>1.5968270584713007</v>
      </c>
      <c r="D120" s="130">
        <v>0.6640938811227769</v>
      </c>
      <c r="E120" s="130">
        <v>0.47308489056977177</v>
      </c>
      <c r="F120" s="130">
        <v>1.2219365897850543</v>
      </c>
      <c r="G120" s="131">
        <v>0.5405407655748452</v>
      </c>
      <c r="H120" s="2"/>
      <c r="I120" s="17">
        <v>1.085741319694686</v>
      </c>
      <c r="J120" s="16">
        <v>-0.4918375793899453</v>
      </c>
      <c r="K120" s="16">
        <v>0.054038135029262066</v>
      </c>
      <c r="L120" s="16">
        <v>0.7747071718768919</v>
      </c>
      <c r="M120" s="18">
        <v>-0.9684340964392204</v>
      </c>
      <c r="O120" s="162">
        <f t="shared" ref="O120:S120" si="54">(C113-AVERAGE($C113:$G113))/STDEVP($C113:$G113)</f>
        <v>1.594941531</v>
      </c>
      <c r="P120" s="152">
        <f t="shared" si="54"/>
        <v>-0.5378039898</v>
      </c>
      <c r="Q120" s="152">
        <f t="shared" si="54"/>
        <v>-0.9745565133</v>
      </c>
      <c r="R120" s="152">
        <f t="shared" si="54"/>
        <v>0.7377339313</v>
      </c>
      <c r="S120" s="163">
        <f t="shared" si="54"/>
        <v>-0.8203149588</v>
      </c>
      <c r="T120" s="6"/>
      <c r="U120" s="2"/>
      <c r="V120" s="2"/>
      <c r="W120" s="2"/>
      <c r="X120" s="2"/>
      <c r="Y120" s="2"/>
      <c r="Z120" s="2"/>
    </row>
    <row r="121">
      <c r="C121" s="164">
        <v>1.4743688748615404</v>
      </c>
      <c r="D121" s="133">
        <v>1.1326456124755881</v>
      </c>
      <c r="E121" s="133">
        <v>0.3247162691399263</v>
      </c>
      <c r="F121" s="133">
        <v>0.1331071220417627</v>
      </c>
      <c r="G121" s="134">
        <v>1.1917181613103496</v>
      </c>
      <c r="H121" s="2"/>
      <c r="I121" s="19">
        <v>1.08688471262458</v>
      </c>
      <c r="J121" s="20">
        <v>0.7965933615933428</v>
      </c>
      <c r="K121" s="20">
        <v>-0.6611187429847936</v>
      </c>
      <c r="L121" s="20">
        <v>-1.1198628098323486</v>
      </c>
      <c r="M121" s="21">
        <v>0.903181369345996</v>
      </c>
      <c r="O121" s="165">
        <f t="shared" ref="O121:S121" si="55">(C114-AVERAGE($C114:$G114))/STDEVP($C114:$G114)</f>
        <v>1.187543188</v>
      </c>
      <c r="P121" s="166">
        <f t="shared" si="55"/>
        <v>0.5362212413</v>
      </c>
      <c r="Q121" s="166">
        <f t="shared" si="55"/>
        <v>-1.00368596</v>
      </c>
      <c r="R121" s="166">
        <f t="shared" si="55"/>
        <v>-1.368891541</v>
      </c>
      <c r="S121" s="167">
        <f t="shared" si="55"/>
        <v>0.6488130714</v>
      </c>
      <c r="T121" s="6"/>
      <c r="U121" s="2"/>
      <c r="V121" s="2"/>
      <c r="W121" s="2"/>
      <c r="X121" s="2"/>
      <c r="Y121" s="2"/>
      <c r="Z121" s="2"/>
    </row>
    <row r="122"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5"/>
      <c r="T122" s="6"/>
      <c r="U122" s="2"/>
      <c r="V122" s="2"/>
      <c r="W122" s="2"/>
      <c r="X122" s="2"/>
      <c r="Y122" s="2"/>
      <c r="Z122" s="2"/>
    </row>
    <row r="123"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5"/>
      <c r="T123" s="6"/>
      <c r="U123" s="2"/>
      <c r="V123" s="2"/>
      <c r="W123" s="2"/>
      <c r="X123" s="2"/>
      <c r="Y123" s="2"/>
      <c r="Z123" s="2"/>
    </row>
    <row r="124"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5"/>
      <c r="T124" s="6"/>
      <c r="U124" s="2"/>
      <c r="V124" s="2"/>
      <c r="W124" s="2"/>
      <c r="X124" s="2"/>
      <c r="Y124" s="2"/>
      <c r="Z124" s="2"/>
    </row>
    <row r="125">
      <c r="A125" s="135" t="s">
        <v>23</v>
      </c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23" t="s">
        <v>4</v>
      </c>
      <c r="C127" s="12">
        <f t="shared" ref="C127:G127" si="56">NORMINV(rand(),0, sqrt(2/5))</f>
        <v>0.9678757477</v>
      </c>
      <c r="D127" s="13">
        <f t="shared" si="56"/>
        <v>-0.8337405901</v>
      </c>
      <c r="E127" s="13">
        <f t="shared" si="56"/>
        <v>-0.8930682133</v>
      </c>
      <c r="F127" s="13">
        <f t="shared" si="56"/>
        <v>0.7047815454</v>
      </c>
      <c r="G127" s="14">
        <f t="shared" si="56"/>
        <v>-0.07928096053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17">
        <f t="shared" ref="C128:G128" si="57">NORMINV(rand(),0, sqrt(2/5))</f>
        <v>0.4034606786</v>
      </c>
      <c r="D128" s="16">
        <f t="shared" si="57"/>
        <v>-1.221822266</v>
      </c>
      <c r="E128" s="16">
        <f t="shared" si="57"/>
        <v>0.5465077799</v>
      </c>
      <c r="F128" s="16">
        <f t="shared" si="57"/>
        <v>0.42997897</v>
      </c>
      <c r="G128" s="18">
        <f t="shared" si="57"/>
        <v>0.01132279253</v>
      </c>
      <c r="H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17">
        <f t="shared" ref="C129:G129" si="58">NORMINV(rand(),0, sqrt(2/5))</f>
        <v>0.005077657743</v>
      </c>
      <c r="D129" s="16">
        <f t="shared" si="58"/>
        <v>1.020298171</v>
      </c>
      <c r="E129" s="16">
        <f t="shared" si="58"/>
        <v>-0.2220212888</v>
      </c>
      <c r="F129" s="16">
        <f t="shared" si="58"/>
        <v>0.3369729283</v>
      </c>
      <c r="G129" s="18">
        <f t="shared" si="58"/>
        <v>-1.016920683</v>
      </c>
      <c r="H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17">
        <f t="shared" ref="C130:G130" si="59">NORMINV(rand(),0, sqrt(2/5))</f>
        <v>-0.03064479337</v>
      </c>
      <c r="D130" s="16">
        <f t="shared" si="59"/>
        <v>0.3162271525</v>
      </c>
      <c r="E130" s="16">
        <f t="shared" si="59"/>
        <v>1.098744983</v>
      </c>
      <c r="F130" s="16">
        <f t="shared" si="59"/>
        <v>-0.8564561499</v>
      </c>
      <c r="G130" s="18">
        <f t="shared" si="59"/>
        <v>-0.9253567053</v>
      </c>
      <c r="H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C131" s="19">
        <f t="shared" ref="C131:G131" si="60">NORMINV(rand(),0, sqrt(2/5))</f>
        <v>-0.6452994613</v>
      </c>
      <c r="D131" s="20">
        <f t="shared" si="60"/>
        <v>0.2229376153</v>
      </c>
      <c r="E131" s="20">
        <f t="shared" si="60"/>
        <v>-1.736205626</v>
      </c>
      <c r="F131" s="20">
        <f t="shared" si="60"/>
        <v>0.0829073252</v>
      </c>
      <c r="G131" s="21">
        <f t="shared" si="60"/>
        <v>0.3313933161</v>
      </c>
      <c r="H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E132" s="4" t="s">
        <v>24</v>
      </c>
      <c r="H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23"/>
      <c r="C133" s="2"/>
      <c r="D133" s="2"/>
      <c r="E133" s="4" t="s">
        <v>24</v>
      </c>
      <c r="F133" s="2"/>
      <c r="G133" s="2"/>
      <c r="H133" s="2"/>
      <c r="I133" s="2"/>
      <c r="J133" s="2"/>
      <c r="K133" s="2"/>
      <c r="L133" s="2"/>
      <c r="S133" s="43"/>
      <c r="T133" s="43"/>
      <c r="U133" s="43"/>
      <c r="V133" s="43"/>
      <c r="W133" s="43"/>
      <c r="X133" s="2"/>
      <c r="Y133" s="2"/>
      <c r="Z133" s="2"/>
    </row>
    <row r="134">
      <c r="B134" s="23" t="s">
        <v>25</v>
      </c>
      <c r="C134" s="12">
        <f t="array" ref="C134:G143">MMULT(J134:N143,C127:G131)</f>
        <v>-0.7460547104</v>
      </c>
      <c r="D134" s="13">
        <v>1.3209948159928468</v>
      </c>
      <c r="E134" s="13">
        <v>-0.26081598668929223</v>
      </c>
      <c r="F134" s="13">
        <v>-0.054838278052176115</v>
      </c>
      <c r="G134" s="14">
        <v>-0.3496283111228769</v>
      </c>
      <c r="H134" s="2"/>
      <c r="I134" s="23" t="s">
        <v>26</v>
      </c>
      <c r="J134" s="39">
        <f t="shared" ref="J134:N134" si="61">NORMINV(rand(),0, sqrt(2/5))</f>
        <v>-0.5972635847</v>
      </c>
      <c r="K134" s="40">
        <f t="shared" si="61"/>
        <v>-0.1522430289</v>
      </c>
      <c r="L134" s="40">
        <f t="shared" si="61"/>
        <v>0.6555658196</v>
      </c>
      <c r="M134" s="40">
        <f t="shared" si="61"/>
        <v>-0.2284279297</v>
      </c>
      <c r="N134" s="41">
        <f t="shared" si="61"/>
        <v>0.181129179</v>
      </c>
      <c r="S134" s="43"/>
      <c r="T134" s="43"/>
      <c r="U134" s="43"/>
      <c r="V134" s="43"/>
      <c r="W134" s="43"/>
      <c r="X134" s="2"/>
      <c r="Y134" s="2"/>
      <c r="Z134" s="2"/>
    </row>
    <row r="135">
      <c r="C135" s="17">
        <v>-1.0632036971876828</v>
      </c>
      <c r="D135" s="16">
        <v>0.8369255589531925</v>
      </c>
      <c r="E135" s="16">
        <v>-0.4131726369547385</v>
      </c>
      <c r="F135" s="16">
        <v>-0.38416473802702145</v>
      </c>
      <c r="G135" s="18">
        <v>0.29471005164637387</v>
      </c>
      <c r="H135" s="2"/>
      <c r="I135" s="23" t="s">
        <v>27</v>
      </c>
      <c r="J135" s="42">
        <f t="shared" ref="J135:N135" si="62">NORMINV(rand(),0, sqrt(2/5))</f>
        <v>-0.7342179296</v>
      </c>
      <c r="K135" s="43">
        <f t="shared" si="62"/>
        <v>-0.08623702871</v>
      </c>
      <c r="L135" s="43">
        <f t="shared" si="62"/>
        <v>0.04872789267</v>
      </c>
      <c r="M135" s="43">
        <f t="shared" si="62"/>
        <v>-0.1314503497</v>
      </c>
      <c r="N135" s="44">
        <f t="shared" si="62"/>
        <v>0.4990774535</v>
      </c>
      <c r="S135" s="43"/>
      <c r="T135" s="43"/>
      <c r="U135" s="43"/>
      <c r="V135" s="43"/>
      <c r="W135" s="43"/>
      <c r="X135" s="2"/>
      <c r="Y135" s="2"/>
      <c r="Z135" s="2"/>
    </row>
    <row r="136">
      <c r="C136" s="17">
        <v>1.3374970323928799</v>
      </c>
      <c r="D136" s="16">
        <v>-0.6383015370640057</v>
      </c>
      <c r="E136" s="16">
        <v>2.295120243339095</v>
      </c>
      <c r="F136" s="16">
        <v>-0.08457698295178791</v>
      </c>
      <c r="G136" s="18">
        <v>-1.7618175519740398</v>
      </c>
      <c r="H136" s="2"/>
      <c r="I136" s="1"/>
      <c r="J136" s="42">
        <f t="shared" ref="J136:N136" si="63">NORMINV(rand(),0, sqrt(2/5))</f>
        <v>0.5832763886</v>
      </c>
      <c r="K136" s="43">
        <f t="shared" si="63"/>
        <v>0.6486764598</v>
      </c>
      <c r="L136" s="43">
        <f t="shared" si="63"/>
        <v>0.4950741016</v>
      </c>
      <c r="M136" s="43">
        <f t="shared" si="63"/>
        <v>1.018188185</v>
      </c>
      <c r="N136" s="44">
        <f t="shared" si="63"/>
        <v>-0.8367136486</v>
      </c>
      <c r="S136" s="43"/>
      <c r="T136" s="43"/>
      <c r="U136" s="43"/>
      <c r="V136" s="43"/>
      <c r="W136" s="43"/>
      <c r="X136" s="2"/>
      <c r="Y136" s="2"/>
      <c r="Z136" s="2"/>
    </row>
    <row r="137">
      <c r="C137" s="17">
        <v>-0.41763027145668613</v>
      </c>
      <c r="D137" s="16">
        <v>0.08383566925124877</v>
      </c>
      <c r="E137" s="16">
        <v>-0.4244249839211478</v>
      </c>
      <c r="F137" s="16">
        <v>0.1432316105895642</v>
      </c>
      <c r="G137" s="18">
        <v>0.16669137736369866</v>
      </c>
      <c r="I137" s="1"/>
      <c r="J137" s="42">
        <f t="shared" ref="J137:N137" si="64">NORMINV(rand(),0, sqrt(2/5))</f>
        <v>-0.3185706878</v>
      </c>
      <c r="K137" s="43">
        <f t="shared" si="64"/>
        <v>0.2940186806</v>
      </c>
      <c r="L137" s="43">
        <f t="shared" si="64"/>
        <v>0.1524139453</v>
      </c>
      <c r="M137" s="43">
        <f t="shared" si="64"/>
        <v>-0.1866483573</v>
      </c>
      <c r="N137" s="44">
        <f t="shared" si="64"/>
        <v>0.363260975</v>
      </c>
      <c r="S137" s="43"/>
      <c r="T137" s="43"/>
      <c r="U137" s="43"/>
      <c r="V137" s="43"/>
      <c r="W137" s="43"/>
      <c r="X137" s="2"/>
      <c r="Y137" s="2"/>
      <c r="Z137" s="2"/>
    </row>
    <row r="138">
      <c r="C138" s="17">
        <v>-0.905697727186566</v>
      </c>
      <c r="D138" s="16">
        <v>2.0772435190622622</v>
      </c>
      <c r="E138" s="16">
        <v>0.034644387431089746</v>
      </c>
      <c r="F138" s="16">
        <v>-0.8902742613901906</v>
      </c>
      <c r="G138" s="18">
        <v>-0.27641103064900224</v>
      </c>
      <c r="I138" s="1"/>
      <c r="J138" s="42">
        <f t="shared" ref="J138:N138" si="65">NORMINV(rand(),0, sqrt(2/5))</f>
        <v>-0.5060396507</v>
      </c>
      <c r="K138" s="43">
        <f t="shared" si="65"/>
        <v>-1.196976486</v>
      </c>
      <c r="L138" s="43">
        <f t="shared" si="65"/>
        <v>0.1859258485</v>
      </c>
      <c r="M138" s="43">
        <f t="shared" si="65"/>
        <v>0.08497848073</v>
      </c>
      <c r="N138" s="44">
        <f t="shared" si="65"/>
        <v>-0.1064293521</v>
      </c>
      <c r="S138" s="43"/>
      <c r="T138" s="43"/>
      <c r="U138" s="43"/>
      <c r="V138" s="43"/>
      <c r="W138" s="43"/>
      <c r="X138" s="2"/>
      <c r="Y138" s="2"/>
      <c r="Z138" s="2"/>
    </row>
    <row r="139">
      <c r="C139" s="17">
        <v>-0.7133923869452354</v>
      </c>
      <c r="D139" s="16">
        <v>-0.8955528320213118</v>
      </c>
      <c r="E139" s="16">
        <v>-0.1724986574595947</v>
      </c>
      <c r="F139" s="16">
        <v>-0.11843148114372548</v>
      </c>
      <c r="G139" s="18">
        <v>1.0806659794800537</v>
      </c>
      <c r="H139" s="136" t="s">
        <v>28</v>
      </c>
      <c r="I139" s="136" t="s">
        <v>28</v>
      </c>
      <c r="J139" s="42">
        <f t="shared" ref="J139:N139" si="66">NORMINV(rand(),0, sqrt(2/5))</f>
        <v>-0.6407657109</v>
      </c>
      <c r="K139" s="43">
        <f t="shared" si="66"/>
        <v>0.7096234468</v>
      </c>
      <c r="L139" s="43">
        <f t="shared" si="66"/>
        <v>-0.6140387536</v>
      </c>
      <c r="M139" s="43">
        <f t="shared" si="66"/>
        <v>-0.2168780779</v>
      </c>
      <c r="N139" s="44">
        <f t="shared" si="66"/>
        <v>0.5935914735</v>
      </c>
      <c r="S139" s="43"/>
      <c r="T139" s="43"/>
      <c r="U139" s="43"/>
      <c r="V139" s="43"/>
      <c r="W139" s="43"/>
      <c r="X139" s="2"/>
      <c r="Y139" s="2"/>
      <c r="Z139" s="2"/>
    </row>
    <row r="140">
      <c r="C140" s="17">
        <v>-0.6683088859001068</v>
      </c>
      <c r="D140" s="16">
        <v>0.43532376081530366</v>
      </c>
      <c r="E140" s="16">
        <v>-1.6897536773899204</v>
      </c>
      <c r="F140" s="16">
        <v>0.7597765415612533</v>
      </c>
      <c r="G140" s="18">
        <v>1.329945832715747</v>
      </c>
      <c r="I140" s="1"/>
      <c r="J140" s="42">
        <f t="shared" ref="J140:N140" si="67">NORMINV(rand(),0, sqrt(2/5))</f>
        <v>-0.4500022955</v>
      </c>
      <c r="K140" s="43">
        <f t="shared" si="67"/>
        <v>-0.3225098819</v>
      </c>
      <c r="L140" s="43">
        <f t="shared" si="67"/>
        <v>0.05058308582</v>
      </c>
      <c r="M140" s="43">
        <f t="shared" si="67"/>
        <v>-1.37766847</v>
      </c>
      <c r="N140" s="44">
        <f t="shared" si="67"/>
        <v>0.2248843208</v>
      </c>
      <c r="S140" s="43"/>
      <c r="T140" s="43"/>
      <c r="U140" s="43"/>
      <c r="V140" s="43"/>
      <c r="W140" s="43"/>
      <c r="X140" s="2"/>
      <c r="Y140" s="2"/>
      <c r="Z140" s="2"/>
    </row>
    <row r="141">
      <c r="C141" s="17">
        <v>0.386594574273437</v>
      </c>
      <c r="D141" s="16">
        <v>-1.5338547981128723</v>
      </c>
      <c r="E141" s="16">
        <v>-0.5921438792662417</v>
      </c>
      <c r="F141" s="16">
        <v>0.375110274446547</v>
      </c>
      <c r="G141" s="18">
        <v>1.8739263139882363</v>
      </c>
      <c r="I141" s="1"/>
      <c r="J141" s="42">
        <f t="shared" ref="J141:N141" si="68">NORMINV(rand(),0, sqrt(2/5))</f>
        <v>0.3147598357</v>
      </c>
      <c r="K141" s="43">
        <f t="shared" si="68"/>
        <v>-0.230903182</v>
      </c>
      <c r="L141" s="43">
        <f t="shared" si="68"/>
        <v>-1.221856415</v>
      </c>
      <c r="M141" s="43">
        <f t="shared" si="68"/>
        <v>-0.7991507351</v>
      </c>
      <c r="N141" s="44">
        <f t="shared" si="68"/>
        <v>-0.2430203129</v>
      </c>
      <c r="S141" s="43"/>
      <c r="T141" s="43"/>
      <c r="U141" s="43"/>
      <c r="V141" s="43"/>
      <c r="W141" s="43"/>
      <c r="X141" s="2"/>
      <c r="Y141" s="2"/>
      <c r="Z141" s="2"/>
    </row>
    <row r="142">
      <c r="C142" s="17">
        <v>-0.38393350173102814</v>
      </c>
      <c r="D142" s="16">
        <v>0.9848493444491853</v>
      </c>
      <c r="E142" s="16">
        <v>-1.0160069198716266</v>
      </c>
      <c r="F142" s="16">
        <v>-0.6993288956939754</v>
      </c>
      <c r="G142" s="18">
        <v>0.26972959966675764</v>
      </c>
      <c r="I142" s="1"/>
      <c r="J142" s="42">
        <f t="shared" ref="J142:N142" si="69">NORMINV(rand(),0, sqrt(2/5))</f>
        <v>0.3160433904</v>
      </c>
      <c r="K142" s="43">
        <f t="shared" si="69"/>
        <v>-1.298875278</v>
      </c>
      <c r="L142" s="43">
        <f t="shared" si="69"/>
        <v>-0.4664170339</v>
      </c>
      <c r="M142" s="43">
        <f t="shared" si="69"/>
        <v>0.264305051</v>
      </c>
      <c r="N142" s="44">
        <f t="shared" si="69"/>
        <v>0.2406808979</v>
      </c>
      <c r="S142" s="43"/>
      <c r="T142" s="43"/>
      <c r="U142" s="43"/>
      <c r="V142" s="43"/>
      <c r="W142" s="43"/>
      <c r="X142" s="2"/>
      <c r="Y142" s="2"/>
      <c r="Z142" s="2"/>
    </row>
    <row r="143">
      <c r="C143" s="19">
        <v>0.17018740754753758</v>
      </c>
      <c r="D143" s="20">
        <v>-1.0585982898246948</v>
      </c>
      <c r="E143" s="20">
        <v>-2.1119378343750426</v>
      </c>
      <c r="F143" s="20">
        <v>-0.4825532132966154</v>
      </c>
      <c r="G143" s="21">
        <v>-0.04689804222738314</v>
      </c>
      <c r="I143" s="1"/>
      <c r="J143" s="45">
        <f t="shared" ref="J143:N143" si="70">NORMINV(rand(),0, sqrt(2/5))</f>
        <v>1.274421898</v>
      </c>
      <c r="K143" s="46">
        <f t="shared" si="70"/>
        <v>-0.05267441209</v>
      </c>
      <c r="L143" s="46">
        <f t="shared" si="70"/>
        <v>-0.8322522577</v>
      </c>
      <c r="M143" s="46">
        <f t="shared" si="70"/>
        <v>1.407477581</v>
      </c>
      <c r="N143" s="47">
        <f t="shared" si="70"/>
        <v>1.541431372</v>
      </c>
      <c r="X143" s="2"/>
      <c r="Y143" s="2"/>
      <c r="Z143" s="2"/>
    </row>
    <row r="144">
      <c r="E144" s="4" t="s">
        <v>24</v>
      </c>
      <c r="X144" s="2"/>
      <c r="Y144" s="2"/>
      <c r="Z144" s="2"/>
    </row>
    <row r="145">
      <c r="E145" s="4" t="s">
        <v>24</v>
      </c>
      <c r="X145" s="2"/>
      <c r="Y145" s="2"/>
      <c r="Z145" s="2"/>
    </row>
    <row r="146">
      <c r="B146" s="23" t="s">
        <v>29</v>
      </c>
      <c r="C146" s="12">
        <f t="shared" ref="C146:G146" si="71">Max(0,C134)</f>
        <v>0</v>
      </c>
      <c r="D146" s="13">
        <f t="shared" si="71"/>
        <v>1.320994816</v>
      </c>
      <c r="E146" s="13">
        <f t="shared" si="71"/>
        <v>0</v>
      </c>
      <c r="F146" s="13">
        <f t="shared" si="71"/>
        <v>0</v>
      </c>
      <c r="G146" s="14">
        <f t="shared" si="71"/>
        <v>0</v>
      </c>
      <c r="X146" s="2"/>
      <c r="Y146" s="2"/>
      <c r="Z146" s="2"/>
    </row>
    <row r="147">
      <c r="C147" s="17">
        <f t="shared" ref="C147:G147" si="72">Max(0,C135)</f>
        <v>0</v>
      </c>
      <c r="D147" s="16">
        <f t="shared" si="72"/>
        <v>0.836925559</v>
      </c>
      <c r="E147" s="16">
        <f t="shared" si="72"/>
        <v>0</v>
      </c>
      <c r="F147" s="16">
        <f t="shared" si="72"/>
        <v>0</v>
      </c>
      <c r="G147" s="18">
        <f t="shared" si="72"/>
        <v>0.2947100516</v>
      </c>
      <c r="X147" s="2"/>
      <c r="Y147" s="2"/>
      <c r="Z147" s="2"/>
    </row>
    <row r="148">
      <c r="C148" s="17">
        <f t="shared" ref="C148:G148" si="73">Max(0,C136)</f>
        <v>1.337497032</v>
      </c>
      <c r="D148" s="16">
        <f t="shared" si="73"/>
        <v>0</v>
      </c>
      <c r="E148" s="16">
        <f t="shared" si="73"/>
        <v>2.295120243</v>
      </c>
      <c r="F148" s="16">
        <f t="shared" si="73"/>
        <v>0</v>
      </c>
      <c r="G148" s="18">
        <f t="shared" si="73"/>
        <v>0</v>
      </c>
      <c r="X148" s="2"/>
      <c r="Y148" s="2"/>
      <c r="Z148" s="2"/>
    </row>
    <row r="149">
      <c r="C149" s="17">
        <f t="shared" ref="C149:G149" si="74">Max(0,C137)</f>
        <v>0</v>
      </c>
      <c r="D149" s="16">
        <f t="shared" si="74"/>
        <v>0.08383566925</v>
      </c>
      <c r="E149" s="16">
        <f t="shared" si="74"/>
        <v>0</v>
      </c>
      <c r="F149" s="16">
        <f t="shared" si="74"/>
        <v>0.1432316106</v>
      </c>
      <c r="G149" s="18">
        <f t="shared" si="74"/>
        <v>0.1666913774</v>
      </c>
      <c r="X149" s="2"/>
      <c r="Y149" s="2"/>
      <c r="Z149" s="2"/>
    </row>
    <row r="150">
      <c r="C150" s="17">
        <f t="shared" ref="C150:G150" si="75">Max(0,C138)</f>
        <v>0</v>
      </c>
      <c r="D150" s="16">
        <f t="shared" si="75"/>
        <v>2.077243519</v>
      </c>
      <c r="E150" s="16">
        <f t="shared" si="75"/>
        <v>0.03464438743</v>
      </c>
      <c r="F150" s="16">
        <f t="shared" si="75"/>
        <v>0</v>
      </c>
      <c r="G150" s="18">
        <f t="shared" si="75"/>
        <v>0</v>
      </c>
      <c r="X150" s="2"/>
      <c r="Y150" s="2"/>
      <c r="Z150" s="2"/>
    </row>
    <row r="151">
      <c r="C151" s="17">
        <f t="shared" ref="C151:G151" si="76">Max(0,C139)</f>
        <v>0</v>
      </c>
      <c r="D151" s="16">
        <f t="shared" si="76"/>
        <v>0</v>
      </c>
      <c r="E151" s="16">
        <f t="shared" si="76"/>
        <v>0</v>
      </c>
      <c r="F151" s="16">
        <f t="shared" si="76"/>
        <v>0</v>
      </c>
      <c r="G151" s="18">
        <f t="shared" si="76"/>
        <v>1.080665979</v>
      </c>
      <c r="X151" s="2"/>
      <c r="Y151" s="2"/>
      <c r="Z151" s="2"/>
    </row>
    <row r="152">
      <c r="C152" s="17">
        <f t="shared" ref="C152:G152" si="77">Max(0,C140)</f>
        <v>0</v>
      </c>
      <c r="D152" s="16">
        <f t="shared" si="77"/>
        <v>0.4353237608</v>
      </c>
      <c r="E152" s="16">
        <f t="shared" si="77"/>
        <v>0</v>
      </c>
      <c r="F152" s="16">
        <f t="shared" si="77"/>
        <v>0.7597765416</v>
      </c>
      <c r="G152" s="18">
        <f t="shared" si="77"/>
        <v>1.329945833</v>
      </c>
      <c r="X152" s="2"/>
      <c r="Y152" s="2"/>
      <c r="Z152" s="2"/>
    </row>
    <row r="153">
      <c r="C153" s="17">
        <f t="shared" ref="C153:G153" si="78">Max(0,C141)</f>
        <v>0.3865945743</v>
      </c>
      <c r="D153" s="16">
        <f t="shared" si="78"/>
        <v>0</v>
      </c>
      <c r="E153" s="16">
        <f t="shared" si="78"/>
        <v>0</v>
      </c>
      <c r="F153" s="16">
        <f t="shared" si="78"/>
        <v>0.3751102744</v>
      </c>
      <c r="G153" s="18">
        <f t="shared" si="78"/>
        <v>1.873926314</v>
      </c>
      <c r="X153" s="2"/>
      <c r="Y153" s="2"/>
      <c r="Z153" s="2"/>
    </row>
    <row r="154">
      <c r="C154" s="17">
        <f t="shared" ref="C154:G154" si="79">Max(0,C142)</f>
        <v>0</v>
      </c>
      <c r="D154" s="16">
        <f t="shared" si="79"/>
        <v>0.9848493444</v>
      </c>
      <c r="E154" s="16">
        <f t="shared" si="79"/>
        <v>0</v>
      </c>
      <c r="F154" s="16">
        <f t="shared" si="79"/>
        <v>0</v>
      </c>
      <c r="G154" s="18">
        <f t="shared" si="79"/>
        <v>0.2697295997</v>
      </c>
      <c r="X154" s="2"/>
      <c r="Y154" s="2"/>
      <c r="Z154" s="2"/>
    </row>
    <row r="155">
      <c r="C155" s="19">
        <f t="shared" ref="C155:G155" si="80">Max(0,C143)</f>
        <v>0.1701874075</v>
      </c>
      <c r="D155" s="20">
        <f t="shared" si="80"/>
        <v>0</v>
      </c>
      <c r="E155" s="20">
        <f t="shared" si="80"/>
        <v>0</v>
      </c>
      <c r="F155" s="20">
        <f t="shared" si="80"/>
        <v>0</v>
      </c>
      <c r="G155" s="21">
        <f t="shared" si="80"/>
        <v>0</v>
      </c>
      <c r="X155" s="2"/>
      <c r="Y155" s="2"/>
      <c r="Z155" s="2"/>
    </row>
    <row r="156">
      <c r="E156" s="4" t="s">
        <v>24</v>
      </c>
      <c r="X156" s="2"/>
      <c r="Y156" s="2"/>
      <c r="Z156" s="2"/>
    </row>
    <row r="157">
      <c r="E157" s="4" t="s">
        <v>24</v>
      </c>
      <c r="X157" s="2"/>
      <c r="Y157" s="2"/>
      <c r="Z157" s="2"/>
    </row>
    <row r="158">
      <c r="B158" s="23" t="s">
        <v>25</v>
      </c>
      <c r="C158" s="12">
        <f t="array" ref="C158:G162">MMULT(J158:S162,C146:G155)</f>
        <v>0.4986143531</v>
      </c>
      <c r="D158" s="13">
        <v>-1.836332636764739</v>
      </c>
      <c r="E158" s="13">
        <v>0.07810668901988226</v>
      </c>
      <c r="F158" s="13">
        <v>-0.7747127954140317</v>
      </c>
      <c r="G158" s="14">
        <v>0.15288635750993038</v>
      </c>
      <c r="I158" s="23" t="s">
        <v>30</v>
      </c>
      <c r="J158" s="39">
        <f t="shared" ref="J158:S158" si="81">NORMINV(rand(),0, sqrt(2/5))</f>
        <v>-0.6394289293</v>
      </c>
      <c r="K158" s="40">
        <f t="shared" si="81"/>
        <v>-0.2964260184</v>
      </c>
      <c r="L158" s="40">
        <f t="shared" si="81"/>
        <v>0.0405649939</v>
      </c>
      <c r="M158" s="40">
        <f t="shared" si="81"/>
        <v>0.1819273949</v>
      </c>
      <c r="N158" s="40">
        <f t="shared" si="81"/>
        <v>-0.4328219017</v>
      </c>
      <c r="O158" s="40">
        <f t="shared" si="81"/>
        <v>0.1545210613</v>
      </c>
      <c r="P158" s="40">
        <f t="shared" si="81"/>
        <v>-1.549362903</v>
      </c>
      <c r="Q158" s="40">
        <f t="shared" si="81"/>
        <v>1.003435695</v>
      </c>
      <c r="R158" s="40">
        <f t="shared" si="81"/>
        <v>0.8272688112</v>
      </c>
      <c r="S158" s="41">
        <f t="shared" si="81"/>
        <v>0.3316108958</v>
      </c>
      <c r="X158" s="2"/>
      <c r="Y158" s="2"/>
      <c r="Z158" s="2"/>
    </row>
    <row r="159">
      <c r="B159" s="23" t="s">
        <v>31</v>
      </c>
      <c r="C159" s="17">
        <v>0.4226822071695193</v>
      </c>
      <c r="D159" s="16">
        <v>0.7576616364330937</v>
      </c>
      <c r="E159" s="16">
        <v>0.8037359001855595</v>
      </c>
      <c r="F159" s="16">
        <v>1.045506858429127</v>
      </c>
      <c r="G159" s="18">
        <v>2.0519250038507963</v>
      </c>
      <c r="H159" s="2"/>
      <c r="I159" s="23" t="s">
        <v>32</v>
      </c>
      <c r="J159" s="42">
        <f t="shared" ref="J159:S159" si="82">NORMINV(rand(),0, sqrt(2/5))</f>
        <v>-0.6286189453</v>
      </c>
      <c r="K159" s="43">
        <f t="shared" si="82"/>
        <v>0.1294892634</v>
      </c>
      <c r="L159" s="43">
        <f t="shared" si="82"/>
        <v>0.3467383692</v>
      </c>
      <c r="M159" s="43">
        <f t="shared" si="82"/>
        <v>0.3197509179</v>
      </c>
      <c r="N159" s="43">
        <f t="shared" si="82"/>
        <v>0.2288869968</v>
      </c>
      <c r="O159" s="43">
        <f t="shared" si="82"/>
        <v>0.3181708934</v>
      </c>
      <c r="P159" s="43">
        <f t="shared" si="82"/>
        <v>1.410237213</v>
      </c>
      <c r="Q159" s="43">
        <f t="shared" si="82"/>
        <v>-0.1912950349</v>
      </c>
      <c r="R159" s="43">
        <f t="shared" si="82"/>
        <v>0.3691131056</v>
      </c>
      <c r="S159" s="44">
        <f t="shared" si="82"/>
        <v>0.1931652308</v>
      </c>
      <c r="T159" s="2"/>
      <c r="U159" s="2"/>
      <c r="V159" s="2"/>
      <c r="W159" s="2"/>
      <c r="X159" s="2"/>
      <c r="Y159" s="2"/>
      <c r="Z159" s="2"/>
    </row>
    <row r="160">
      <c r="B160" s="1"/>
      <c r="C160" s="17">
        <v>-0.44749571366992674</v>
      </c>
      <c r="D160" s="16">
        <v>0.971624760547142</v>
      </c>
      <c r="E160" s="16">
        <v>-0.3736963805140634</v>
      </c>
      <c r="F160" s="16">
        <v>-0.7497962838228671</v>
      </c>
      <c r="G160" s="18">
        <v>-0.8162927470888428</v>
      </c>
      <c r="H160" s="2"/>
      <c r="I160" s="1"/>
      <c r="J160" s="42">
        <f t="shared" ref="J160:S160" si="83">NORMINV(rand(),0, sqrt(2/5))</f>
        <v>-0.2757113492</v>
      </c>
      <c r="K160" s="43">
        <f t="shared" si="83"/>
        <v>0.2220686306</v>
      </c>
      <c r="L160" s="43">
        <f t="shared" si="83"/>
        <v>-0.1703074949</v>
      </c>
      <c r="M160" s="43">
        <f t="shared" si="83"/>
        <v>0.8097165</v>
      </c>
      <c r="N160" s="43">
        <f t="shared" si="83"/>
        <v>0.4958898067</v>
      </c>
      <c r="O160" s="43">
        <f t="shared" si="83"/>
        <v>1.045480204</v>
      </c>
      <c r="P160" s="43">
        <f t="shared" si="83"/>
        <v>-0.8373117941</v>
      </c>
      <c r="Q160" s="43">
        <f t="shared" si="83"/>
        <v>-0.6120957988</v>
      </c>
      <c r="R160" s="43">
        <f t="shared" si="83"/>
        <v>0.4229254153</v>
      </c>
      <c r="S160" s="44">
        <f t="shared" si="83"/>
        <v>0.09943726357</v>
      </c>
      <c r="T160" s="2"/>
      <c r="U160" s="2"/>
      <c r="V160" s="2"/>
      <c r="W160" s="2"/>
      <c r="X160" s="2"/>
      <c r="Y160" s="2"/>
      <c r="Z160" s="2"/>
    </row>
    <row r="161">
      <c r="B161" s="1"/>
      <c r="C161" s="17">
        <v>0.2510917897566684</v>
      </c>
      <c r="D161" s="16">
        <v>0.382303279737324</v>
      </c>
      <c r="E161" s="16">
        <v>1.5322233099073248</v>
      </c>
      <c r="F161" s="16">
        <v>-0.5460789239185726</v>
      </c>
      <c r="G161" s="18">
        <v>-2.8416626943972303</v>
      </c>
      <c r="H161" s="136" t="s">
        <v>28</v>
      </c>
      <c r="I161" s="136" t="s">
        <v>28</v>
      </c>
      <c r="J161" s="42">
        <f t="shared" ref="J161:S161" si="84">NORMINV(rand(),0, sqrt(2/5))</f>
        <v>-0.5618493351</v>
      </c>
      <c r="K161" s="43">
        <f t="shared" si="84"/>
        <v>-0.0582344662</v>
      </c>
      <c r="L161" s="43">
        <f t="shared" si="84"/>
        <v>0.6628480052</v>
      </c>
      <c r="M161" s="43">
        <f t="shared" si="84"/>
        <v>-0.9122621458</v>
      </c>
      <c r="N161" s="43">
        <f t="shared" si="84"/>
        <v>0.3148398834</v>
      </c>
      <c r="O161" s="43">
        <f t="shared" si="84"/>
        <v>-0.4098507851</v>
      </c>
      <c r="P161" s="43">
        <f t="shared" si="84"/>
        <v>0.1227941724</v>
      </c>
      <c r="Q161" s="43">
        <f t="shared" si="84"/>
        <v>-1.356161944</v>
      </c>
      <c r="R161" s="43">
        <f t="shared" si="84"/>
        <v>0.5506091202</v>
      </c>
      <c r="S161" s="44">
        <f t="shared" si="84"/>
        <v>-0.6532833551</v>
      </c>
      <c r="T161" s="2"/>
      <c r="U161" s="2"/>
      <c r="V161" s="2"/>
      <c r="W161" s="2"/>
      <c r="X161" s="2"/>
      <c r="Y161" s="2"/>
      <c r="Z161" s="2"/>
    </row>
    <row r="162">
      <c r="B162" s="1"/>
      <c r="C162" s="19">
        <v>-1.443331168196447</v>
      </c>
      <c r="D162" s="20">
        <v>3.715756455622767</v>
      </c>
      <c r="E162" s="20">
        <v>-1.7419061293348277</v>
      </c>
      <c r="F162" s="20">
        <v>-0.052495344960420465</v>
      </c>
      <c r="G162" s="21">
        <v>-1.2773749635597333</v>
      </c>
      <c r="H162" s="2"/>
      <c r="I162" s="1"/>
      <c r="J162" s="45">
        <f t="shared" ref="J162:S162" si="85">NORMINV(rand(),0, sqrt(2/5))</f>
        <v>0.4826818928</v>
      </c>
      <c r="K162" s="46">
        <f t="shared" si="85"/>
        <v>0.4018284929</v>
      </c>
      <c r="L162" s="46">
        <f t="shared" si="85"/>
        <v>-0.7718382045</v>
      </c>
      <c r="M162" s="46">
        <f t="shared" si="85"/>
        <v>-0.1683136777</v>
      </c>
      <c r="N162" s="46">
        <f t="shared" si="85"/>
        <v>0.8531066822</v>
      </c>
      <c r="O162" s="46">
        <f t="shared" si="85"/>
        <v>-0.2514438269</v>
      </c>
      <c r="P162" s="46">
        <f t="shared" si="85"/>
        <v>0.4733899497</v>
      </c>
      <c r="Q162" s="46">
        <f t="shared" si="85"/>
        <v>-1.034517343</v>
      </c>
      <c r="R162" s="46">
        <f t="shared" si="85"/>
        <v>0.7897229315</v>
      </c>
      <c r="S162" s="47">
        <f t="shared" si="85"/>
        <v>-0.06499345845</v>
      </c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4" t="s">
        <v>24</v>
      </c>
      <c r="F163" s="2"/>
      <c r="G163" s="2"/>
      <c r="H163" s="2"/>
      <c r="I163" s="1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4" t="s">
        <v>24</v>
      </c>
      <c r="F164" s="2"/>
      <c r="G164" s="2"/>
      <c r="H164" s="2"/>
      <c r="I164" s="1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23" t="s">
        <v>33</v>
      </c>
      <c r="C165" s="12">
        <f t="array" ref="C165:G169">C158:G162+C127:G131</f>
        <v>1.466490101</v>
      </c>
      <c r="D165" s="13">
        <v>-2.6700732268196252</v>
      </c>
      <c r="E165" s="13">
        <v>-0.8149615243162098</v>
      </c>
      <c r="F165" s="13">
        <v>-0.0699312499731437</v>
      </c>
      <c r="G165" s="14">
        <v>0.07360539697686655</v>
      </c>
      <c r="H165" s="2"/>
      <c r="I165" s="1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23"/>
      <c r="C166" s="17">
        <v>0.8261428857674095</v>
      </c>
      <c r="D166" s="16">
        <v>-0.4641606290889091</v>
      </c>
      <c r="E166" s="16">
        <v>1.350243680060562</v>
      </c>
      <c r="F166" s="16">
        <v>1.4754858284758008</v>
      </c>
      <c r="G166" s="18">
        <v>2.0632477963761886</v>
      </c>
      <c r="H166" s="2"/>
      <c r="I166" s="1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17">
        <v>-0.44241805592668715</v>
      </c>
      <c r="D167" s="16">
        <v>1.9919229312266369</v>
      </c>
      <c r="E167" s="16">
        <v>-0.595717669303268</v>
      </c>
      <c r="F167" s="16">
        <v>-0.41282335548353566</v>
      </c>
      <c r="G167" s="18">
        <v>-1.8332134304600867</v>
      </c>
      <c r="H167" s="2"/>
      <c r="I167" s="1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17">
        <v>0.2204469963893863</v>
      </c>
      <c r="D168" s="16">
        <v>0.698530432210602</v>
      </c>
      <c r="E168" s="16">
        <v>2.630968292456976</v>
      </c>
      <c r="F168" s="16">
        <v>-1.4025350738560025</v>
      </c>
      <c r="G168" s="18">
        <v>-3.767019399736135</v>
      </c>
      <c r="H168" s="2"/>
      <c r="I168" s="1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19">
        <v>-2.0886306294591535</v>
      </c>
      <c r="D169" s="20">
        <v>3.938694070947842</v>
      </c>
      <c r="E169" s="20">
        <v>-3.478111755518821</v>
      </c>
      <c r="F169" s="20">
        <v>0.03041198024217466</v>
      </c>
      <c r="G169" s="21">
        <v>-0.945981647462464</v>
      </c>
      <c r="H169" s="2"/>
      <c r="I169" s="1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1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35" t="s">
        <v>35</v>
      </c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13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13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23" t="s">
        <v>4</v>
      </c>
      <c r="C174" s="39">
        <f t="shared" ref="C174:E174" si="86">NORMINV(rand(),0, sqrt(2/5))</f>
        <v>0.4401945344</v>
      </c>
      <c r="D174" s="40">
        <f t="shared" si="86"/>
        <v>-0.4083843819</v>
      </c>
      <c r="E174" s="41">
        <f t="shared" si="86"/>
        <v>0.07226892464</v>
      </c>
      <c r="F174" s="43"/>
      <c r="G174" s="43"/>
      <c r="W174" s="43"/>
      <c r="X174" s="43"/>
      <c r="Y174" s="43"/>
      <c r="Z174" s="43"/>
    </row>
    <row r="175">
      <c r="B175" s="1"/>
      <c r="C175" s="42">
        <f t="shared" ref="C175:E175" si="87">NORMINV(rand(),0, sqrt(2/5))</f>
        <v>0.5507769278</v>
      </c>
      <c r="D175" s="43">
        <f t="shared" si="87"/>
        <v>0.6389862061</v>
      </c>
      <c r="E175" s="44">
        <f t="shared" si="87"/>
        <v>0.1837821174</v>
      </c>
      <c r="F175" s="43"/>
      <c r="G175" s="43"/>
      <c r="W175" s="43"/>
      <c r="X175" s="43"/>
      <c r="Y175" s="43"/>
      <c r="Z175" s="43"/>
    </row>
    <row r="176">
      <c r="B176" s="1"/>
      <c r="C176" s="45">
        <f t="shared" ref="C176:E176" si="88">NORMINV(rand(),0, sqrt(2/5))</f>
        <v>0.2688593782</v>
      </c>
      <c r="D176" s="46">
        <f t="shared" si="88"/>
        <v>0.8295084393</v>
      </c>
      <c r="E176" s="47">
        <f t="shared" si="88"/>
        <v>0.6313472934</v>
      </c>
      <c r="F176" s="43"/>
      <c r="G176" s="43"/>
      <c r="W176" s="43"/>
      <c r="X176" s="43"/>
      <c r="Y176" s="43"/>
      <c r="Z176" s="43"/>
    </row>
    <row r="177">
      <c r="U177" s="43"/>
      <c r="V177" s="43"/>
      <c r="W177" s="43"/>
      <c r="X177" s="43"/>
      <c r="Y177" s="43"/>
      <c r="Z177" s="43"/>
    </row>
    <row r="178">
      <c r="C178" s="16"/>
      <c r="D178" s="16"/>
      <c r="E178" s="16"/>
      <c r="F178" s="16"/>
      <c r="G178" s="16"/>
      <c r="U178" s="43"/>
      <c r="V178" s="43"/>
      <c r="W178" s="43"/>
      <c r="X178" s="43"/>
      <c r="Y178" s="43"/>
      <c r="Z178" s="43"/>
    </row>
    <row r="179">
      <c r="B179" s="23" t="s">
        <v>36</v>
      </c>
      <c r="C179" s="12">
        <f t="array" ref="C179:E181">LET(inner, MMULT(I179:K184, C174:E176), MMULT(O179:T181, IF(inner &gt; 0, inner, 0)) + C174:E176)</f>
        <v>0.3754019284</v>
      </c>
      <c r="D179" s="13">
        <v>-0.4331627140461506</v>
      </c>
      <c r="E179" s="14">
        <v>-0.2656354275206576</v>
      </c>
      <c r="F179" s="16"/>
      <c r="G179" s="16"/>
      <c r="H179" s="23" t="s">
        <v>26</v>
      </c>
      <c r="I179" s="39">
        <f t="shared" ref="I179:K179" si="89">NORMINV(rand(),0, sqrt(2/5))</f>
        <v>-0.2553480992</v>
      </c>
      <c r="J179" s="40">
        <f t="shared" si="89"/>
        <v>-0.517090282</v>
      </c>
      <c r="K179" s="41">
        <f t="shared" si="89"/>
        <v>0.9753760195</v>
      </c>
      <c r="N179" s="23" t="s">
        <v>30</v>
      </c>
      <c r="O179" s="39">
        <f t="shared" ref="O179:T179" si="90">NORMINV(rand(),0, sqrt(2/5))</f>
        <v>-0.6803963148</v>
      </c>
      <c r="P179" s="40">
        <f t="shared" si="90"/>
        <v>0.4911898567</v>
      </c>
      <c r="Q179" s="40">
        <f t="shared" si="90"/>
        <v>-1.170902343</v>
      </c>
      <c r="R179" s="40">
        <f t="shared" si="90"/>
        <v>-0.3871386659</v>
      </c>
      <c r="S179" s="40">
        <f t="shared" si="90"/>
        <v>0.6834165588</v>
      </c>
      <c r="T179" s="41">
        <f t="shared" si="90"/>
        <v>0.5348464892</v>
      </c>
      <c r="U179" s="2"/>
      <c r="V179" s="2"/>
      <c r="W179" s="2"/>
      <c r="X179" s="2"/>
      <c r="Y179" s="2"/>
      <c r="Z179" s="2"/>
    </row>
    <row r="180">
      <c r="B180" s="23" t="s">
        <v>37</v>
      </c>
      <c r="C180" s="17">
        <v>0.6134985740916168</v>
      </c>
      <c r="D180" s="16">
        <v>1.5890460144820675</v>
      </c>
      <c r="E180" s="18">
        <v>0.8023631567325046</v>
      </c>
      <c r="F180" s="16"/>
      <c r="G180" s="16"/>
      <c r="H180" s="23" t="s">
        <v>27</v>
      </c>
      <c r="I180" s="42">
        <f t="shared" ref="I180:K180" si="91">NORMINV(rand(),0, sqrt(2/5))</f>
        <v>-0.630657295</v>
      </c>
      <c r="J180" s="43">
        <f t="shared" si="91"/>
        <v>-0.6644545123</v>
      </c>
      <c r="K180" s="44">
        <f t="shared" si="91"/>
        <v>0.2190335779</v>
      </c>
      <c r="N180" s="23" t="s">
        <v>32</v>
      </c>
      <c r="O180" s="42">
        <f t="shared" ref="O180:T180" si="92">NORMINV(rand(),0, sqrt(2/5))</f>
        <v>0.4151566943</v>
      </c>
      <c r="P180" s="43">
        <f t="shared" si="92"/>
        <v>-0.3732351857</v>
      </c>
      <c r="Q180" s="43">
        <f t="shared" si="92"/>
        <v>-0.1574746689</v>
      </c>
      <c r="R180" s="43">
        <f t="shared" si="92"/>
        <v>0.374764591</v>
      </c>
      <c r="S180" s="43">
        <f t="shared" si="92"/>
        <v>1.252026836</v>
      </c>
      <c r="T180" s="44">
        <f t="shared" si="92"/>
        <v>-0.1640278159</v>
      </c>
      <c r="U180" s="43"/>
      <c r="V180" s="43"/>
      <c r="W180" s="43"/>
      <c r="X180" s="2"/>
      <c r="Y180" s="2"/>
      <c r="Z180" s="2"/>
    </row>
    <row r="181">
      <c r="B181" s="139" t="s">
        <v>38</v>
      </c>
      <c r="C181" s="19">
        <v>0.3870725747276496</v>
      </c>
      <c r="D181" s="20">
        <v>-0.3791412567692827</v>
      </c>
      <c r="E181" s="21">
        <v>0.15575364166745387</v>
      </c>
      <c r="F181" s="16"/>
      <c r="G181" s="16"/>
      <c r="H181" s="1"/>
      <c r="I181" s="42">
        <f t="shared" ref="I181:K181" si="93">NORMINV(rand(),0, sqrt(2/5))</f>
        <v>-0.7664732033</v>
      </c>
      <c r="J181" s="43">
        <f t="shared" si="93"/>
        <v>-0.4820078544</v>
      </c>
      <c r="K181" s="44">
        <f t="shared" si="93"/>
        <v>-0.9704583889</v>
      </c>
      <c r="N181" s="1"/>
      <c r="O181" s="45">
        <f t="shared" ref="O181:T181" si="94">NORMINV(rand(),0, sqrt(2/5))</f>
        <v>-0.9231086097</v>
      </c>
      <c r="P181" s="46">
        <f t="shared" si="94"/>
        <v>0.4955856659</v>
      </c>
      <c r="Q181" s="46">
        <f t="shared" si="94"/>
        <v>-0.76635615</v>
      </c>
      <c r="R181" s="46">
        <f t="shared" si="94"/>
        <v>0.7063290408</v>
      </c>
      <c r="S181" s="46">
        <f t="shared" si="94"/>
        <v>-1.269280084</v>
      </c>
      <c r="T181" s="47">
        <f t="shared" si="94"/>
        <v>-0.9298596529</v>
      </c>
      <c r="U181" s="43"/>
      <c r="V181" s="43"/>
      <c r="W181" s="43"/>
      <c r="X181" s="2"/>
      <c r="Y181" s="2"/>
      <c r="Z181" s="2"/>
    </row>
    <row r="182">
      <c r="F182" s="16"/>
      <c r="G182" s="16"/>
      <c r="H182" s="1"/>
      <c r="I182" s="42">
        <f t="shared" ref="I182:K182" si="95">NORMINV(rand(),0, sqrt(2/5))</f>
        <v>0.5356169394</v>
      </c>
      <c r="J182" s="43">
        <f t="shared" si="95"/>
        <v>-0.4449150787</v>
      </c>
      <c r="K182" s="44">
        <f t="shared" si="95"/>
        <v>0.6569832111</v>
      </c>
      <c r="M182" s="43"/>
      <c r="N182" s="43"/>
      <c r="O182" s="2"/>
      <c r="P182" s="136"/>
      <c r="Q182" s="43"/>
      <c r="R182" s="43"/>
      <c r="S182" s="43"/>
      <c r="T182" s="43"/>
      <c r="U182" s="43"/>
      <c r="V182" s="43"/>
      <c r="W182" s="43"/>
      <c r="X182" s="2"/>
      <c r="Y182" s="2"/>
      <c r="Z182" s="2"/>
    </row>
    <row r="183">
      <c r="F183" s="16"/>
      <c r="G183" s="16"/>
      <c r="H183" s="1"/>
      <c r="I183" s="42">
        <f t="shared" ref="I183:K183" si="96">NORMINV(rand(),0, sqrt(2/5))</f>
        <v>-0.7699183312</v>
      </c>
      <c r="J183" s="43">
        <f t="shared" si="96"/>
        <v>-0.2875238879</v>
      </c>
      <c r="K183" s="44">
        <f t="shared" si="96"/>
        <v>0.5143251657</v>
      </c>
      <c r="M183" s="43"/>
      <c r="N183" s="43"/>
      <c r="O183" s="2"/>
      <c r="P183" s="1"/>
      <c r="Q183" s="43"/>
      <c r="R183" s="43"/>
      <c r="S183" s="43"/>
      <c r="T183" s="43"/>
      <c r="U183" s="43"/>
      <c r="V183" s="43"/>
      <c r="W183" s="43"/>
      <c r="X183" s="2"/>
      <c r="Y183" s="2"/>
      <c r="Z183" s="2"/>
    </row>
    <row r="184">
      <c r="F184" s="16"/>
      <c r="G184" s="16"/>
      <c r="H184" s="136"/>
      <c r="I184" s="45">
        <f t="shared" ref="I184:K184" si="97">NORMINV(rand(),0, sqrt(2/5))</f>
        <v>0.3711541979</v>
      </c>
      <c r="J184" s="46">
        <f t="shared" si="97"/>
        <v>-0.1548561624</v>
      </c>
      <c r="K184" s="47">
        <f t="shared" si="97"/>
        <v>-1.148293874</v>
      </c>
      <c r="M184" s="43"/>
      <c r="N184" s="43"/>
      <c r="O184" s="2"/>
      <c r="P184" s="2"/>
      <c r="Q184" s="2"/>
      <c r="R184" s="2"/>
      <c r="S184" s="2"/>
      <c r="T184" s="2"/>
      <c r="U184" s="43"/>
      <c r="V184" s="43"/>
      <c r="W184" s="43"/>
      <c r="X184" s="2"/>
      <c r="Y184" s="2"/>
      <c r="Z184" s="2"/>
    </row>
    <row r="185">
      <c r="U185" s="43"/>
      <c r="V185" s="43"/>
      <c r="W185" s="43"/>
      <c r="X185" s="43"/>
      <c r="Y185" s="43"/>
      <c r="Z185" s="43"/>
    </row>
    <row r="186">
      <c r="A186" s="135" t="s">
        <v>42</v>
      </c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23" t="s">
        <v>4</v>
      </c>
      <c r="C188" s="39">
        <f t="shared" ref="C188:E188" si="98">NORMINV(rand(),0, sqrt(2/5))</f>
        <v>-0.7792946675</v>
      </c>
      <c r="D188" s="40">
        <f t="shared" si="98"/>
        <v>0.1583036776</v>
      </c>
      <c r="E188" s="41">
        <f t="shared" si="98"/>
        <v>0.9372012766</v>
      </c>
      <c r="F188" s="43"/>
      <c r="G188" s="43"/>
      <c r="U188" s="2"/>
      <c r="V188" s="2"/>
      <c r="W188" s="2"/>
      <c r="X188" s="2"/>
      <c r="Y188" s="2"/>
      <c r="Z188" s="2"/>
    </row>
    <row r="189">
      <c r="B189" s="1"/>
      <c r="C189" s="42">
        <f t="shared" ref="C189:E189" si="99">NORMINV(rand(),0, sqrt(2/5))</f>
        <v>0.7305314347</v>
      </c>
      <c r="D189" s="43">
        <f t="shared" si="99"/>
        <v>-0.185588467</v>
      </c>
      <c r="E189" s="44">
        <f t="shared" si="99"/>
        <v>0.7924881156</v>
      </c>
      <c r="F189" s="43"/>
      <c r="G189" s="43"/>
      <c r="U189" s="2"/>
      <c r="V189" s="2"/>
      <c r="W189" s="2"/>
      <c r="X189" s="2"/>
      <c r="Y189" s="2"/>
      <c r="Z189" s="2"/>
    </row>
    <row r="190">
      <c r="B190" s="1"/>
      <c r="C190" s="45">
        <f t="shared" ref="C190:E190" si="100">NORMINV(rand(),0, sqrt(2/5))</f>
        <v>-0.7625477355</v>
      </c>
      <c r="D190" s="46">
        <f t="shared" si="100"/>
        <v>0.127515588</v>
      </c>
      <c r="E190" s="47">
        <f t="shared" si="100"/>
        <v>0.1291134382</v>
      </c>
      <c r="F190" s="43"/>
      <c r="G190" s="43"/>
      <c r="W190" s="43"/>
      <c r="X190" s="43"/>
      <c r="Y190" s="43"/>
      <c r="Z190" s="43"/>
    </row>
    <row r="191">
      <c r="D191" s="4" t="s">
        <v>24</v>
      </c>
      <c r="W191" s="43"/>
      <c r="X191" s="43"/>
      <c r="Y191" s="43"/>
      <c r="Z191" s="43"/>
    </row>
    <row r="192">
      <c r="D192" s="4" t="s">
        <v>24</v>
      </c>
      <c r="W192" s="43"/>
      <c r="X192" s="43"/>
      <c r="Y192" s="43"/>
      <c r="Z192" s="43"/>
    </row>
    <row r="193">
      <c r="B193" s="23" t="s">
        <v>40</v>
      </c>
      <c r="C193" s="12">
        <f t="array" ref="C193:E195">LET(x,C188:E190,rms,SQRT(MMULT(x^2,SEQUENCE(3,1,1/3,0))),x/rms)</f>
        <v>-1.098176859</v>
      </c>
      <c r="D193" s="13">
        <v>0.22308048887264698</v>
      </c>
      <c r="E193" s="14">
        <v>1.320697801356181</v>
      </c>
      <c r="W193" s="43"/>
      <c r="X193" s="43"/>
      <c r="Y193" s="43"/>
      <c r="Z193" s="43"/>
    </row>
    <row r="194">
      <c r="C194" s="17">
        <v>1.1569257905563801</v>
      </c>
      <c r="D194" s="16">
        <v>-0.2939121764256245</v>
      </c>
      <c r="E194" s="18">
        <v>1.2550451576314885</v>
      </c>
      <c r="W194" s="43"/>
      <c r="X194" s="43"/>
      <c r="Y194" s="43"/>
      <c r="Z194" s="43"/>
    </row>
    <row r="195">
      <c r="C195" s="19">
        <v>-1.6849952576850646</v>
      </c>
      <c r="D195" s="20">
        <v>0.2817701122798506</v>
      </c>
      <c r="E195" s="21">
        <v>0.28530086821571865</v>
      </c>
      <c r="W195" s="43"/>
      <c r="X195" s="43"/>
      <c r="Y195" s="43"/>
      <c r="Z195" s="43"/>
    </row>
    <row r="196">
      <c r="D196" s="4" t="s">
        <v>24</v>
      </c>
      <c r="W196" s="43"/>
      <c r="X196" s="43"/>
      <c r="Y196" s="43"/>
      <c r="Z196" s="43"/>
    </row>
    <row r="197">
      <c r="C197" s="16"/>
      <c r="D197" s="4" t="s">
        <v>24</v>
      </c>
      <c r="E197" s="16"/>
      <c r="F197" s="16"/>
      <c r="G197" s="16"/>
      <c r="W197" s="43"/>
      <c r="X197" s="43"/>
      <c r="Y197" s="43"/>
      <c r="Z197" s="43"/>
    </row>
    <row r="198">
      <c r="B198" s="23" t="s">
        <v>44</v>
      </c>
      <c r="C198" s="12">
        <f t="array" ref="C198:E200">MMULT(O198:T200 ,MMULT(I198:K203,C188:E190))+C188:E190</f>
        <v>-1.449899341</v>
      </c>
      <c r="D198" s="13">
        <v>0.27708498857028707</v>
      </c>
      <c r="E198" s="14">
        <v>-0.05866700268577585</v>
      </c>
      <c r="F198" s="16"/>
      <c r="G198" s="16"/>
      <c r="H198" s="23" t="s">
        <v>26</v>
      </c>
      <c r="I198" s="39">
        <f t="shared" ref="I198:K198" si="101">NORMINV(rand(),0, sqrt(2/5))</f>
        <v>0.2448963982</v>
      </c>
      <c r="J198" s="40">
        <f t="shared" si="101"/>
        <v>0.4049877171</v>
      </c>
      <c r="K198" s="41">
        <f t="shared" si="101"/>
        <v>-0.249969218</v>
      </c>
      <c r="N198" s="23" t="s">
        <v>30</v>
      </c>
      <c r="O198" s="39">
        <f t="shared" ref="O198:T198" si="102">NORMINV(rand(),0, sqrt(2/5))</f>
        <v>0.6217592487</v>
      </c>
      <c r="P198" s="40">
        <f t="shared" si="102"/>
        <v>-0.7400778576</v>
      </c>
      <c r="Q198" s="40">
        <f t="shared" si="102"/>
        <v>0.023324146</v>
      </c>
      <c r="R198" s="40">
        <f t="shared" si="102"/>
        <v>-0.06325221916</v>
      </c>
      <c r="S198" s="40">
        <f t="shared" si="102"/>
        <v>-0.6178958842</v>
      </c>
      <c r="T198" s="41">
        <f t="shared" si="102"/>
        <v>0.6916988558</v>
      </c>
      <c r="U198" s="43"/>
      <c r="V198" s="43"/>
      <c r="W198" s="43"/>
      <c r="X198" s="43"/>
      <c r="Y198" s="43"/>
      <c r="Z198" s="43"/>
    </row>
    <row r="199">
      <c r="B199" s="23" t="s">
        <v>45</v>
      </c>
      <c r="C199" s="17">
        <v>0.14908332590193274</v>
      </c>
      <c r="D199" s="16">
        <v>-0.07932434073002036</v>
      </c>
      <c r="E199" s="18">
        <v>-0.48048848145428724</v>
      </c>
      <c r="F199" s="16"/>
      <c r="G199" s="16"/>
      <c r="H199" s="23" t="s">
        <v>27</v>
      </c>
      <c r="I199" s="42">
        <f t="shared" ref="I199:K199" si="103">NORMINV(rand(),0, sqrt(2/5))</f>
        <v>0.1319102164</v>
      </c>
      <c r="J199" s="43">
        <f t="shared" si="103"/>
        <v>-0.1594382974</v>
      </c>
      <c r="K199" s="44">
        <f t="shared" si="103"/>
        <v>-0.3945754347</v>
      </c>
      <c r="N199" s="23" t="s">
        <v>32</v>
      </c>
      <c r="O199" s="42">
        <f t="shared" ref="O199:T199" si="104">NORMINV(rand(),0, sqrt(2/5))</f>
        <v>0.848069659</v>
      </c>
      <c r="P199" s="43">
        <f t="shared" si="104"/>
        <v>-0.3982522038</v>
      </c>
      <c r="Q199" s="43">
        <f t="shared" si="104"/>
        <v>-0.1479602233</v>
      </c>
      <c r="R199" s="43">
        <f t="shared" si="104"/>
        <v>0.8501777094</v>
      </c>
      <c r="S199" s="43">
        <f t="shared" si="104"/>
        <v>-1.237803305</v>
      </c>
      <c r="T199" s="44">
        <f t="shared" si="104"/>
        <v>0.06504129784</v>
      </c>
      <c r="U199" s="43"/>
      <c r="V199" s="43"/>
      <c r="W199" s="43"/>
      <c r="X199" s="43"/>
      <c r="Y199" s="43"/>
      <c r="Z199" s="43"/>
    </row>
    <row r="200">
      <c r="B200" s="139" t="s">
        <v>38</v>
      </c>
      <c r="C200" s="19">
        <v>-2.506452422190116</v>
      </c>
      <c r="D200" s="20">
        <v>0.45370657945399867</v>
      </c>
      <c r="E200" s="21">
        <v>-0.06111363456962196</v>
      </c>
      <c r="F200" s="16"/>
      <c r="G200" s="16"/>
      <c r="H200" s="1"/>
      <c r="I200" s="42">
        <f t="shared" ref="I200:K200" si="105">NORMINV(rand(),0, sqrt(2/5))</f>
        <v>-1.361058198</v>
      </c>
      <c r="J200" s="43">
        <f t="shared" si="105"/>
        <v>-0.09090904102</v>
      </c>
      <c r="K200" s="44">
        <f t="shared" si="105"/>
        <v>-0.7991413931</v>
      </c>
      <c r="N200" s="1"/>
      <c r="O200" s="45">
        <f t="shared" ref="O200:T200" si="106">NORMINV(rand(),0, sqrt(2/5))</f>
        <v>-0.03004344041</v>
      </c>
      <c r="P200" s="46">
        <f t="shared" si="106"/>
        <v>-0.6632312029</v>
      </c>
      <c r="Q200" s="46">
        <f t="shared" si="106"/>
        <v>-0.3872129238</v>
      </c>
      <c r="R200" s="46">
        <f t="shared" si="106"/>
        <v>-0.2944138483</v>
      </c>
      <c r="S200" s="46">
        <f t="shared" si="106"/>
        <v>-0.1551070929</v>
      </c>
      <c r="T200" s="47">
        <f t="shared" si="106"/>
        <v>1.271766913</v>
      </c>
      <c r="U200" s="2"/>
      <c r="V200" s="2"/>
      <c r="W200" s="2"/>
      <c r="X200" s="2"/>
      <c r="Y200" s="2"/>
      <c r="Z200" s="2"/>
    </row>
    <row r="201">
      <c r="F201" s="16"/>
      <c r="G201" s="16"/>
      <c r="H201" s="1"/>
      <c r="I201" s="42">
        <f t="shared" ref="I201:K201" si="107">NORMINV(rand(),0, sqrt(2/5))</f>
        <v>0.1492828464</v>
      </c>
      <c r="J201" s="43">
        <f t="shared" si="107"/>
        <v>0.1891464425</v>
      </c>
      <c r="K201" s="44">
        <f t="shared" si="107"/>
        <v>-0.133687796</v>
      </c>
      <c r="M201" s="43"/>
      <c r="N201" s="43"/>
      <c r="O201" s="2"/>
      <c r="P201" s="136"/>
      <c r="Q201" s="43"/>
      <c r="R201" s="43"/>
      <c r="S201" s="43"/>
      <c r="T201" s="43"/>
      <c r="U201" s="43"/>
      <c r="V201" s="43"/>
      <c r="W201" s="43"/>
      <c r="X201" s="2"/>
      <c r="Y201" s="2"/>
      <c r="Z201" s="2"/>
    </row>
    <row r="202">
      <c r="F202" s="16"/>
      <c r="G202" s="16"/>
      <c r="H202" s="1"/>
      <c r="I202" s="42">
        <f t="shared" ref="I202:K202" si="108">NORMINV(rand(),0, sqrt(2/5))</f>
        <v>1.211647725</v>
      </c>
      <c r="J202" s="43">
        <f t="shared" si="108"/>
        <v>0.930986902</v>
      </c>
      <c r="K202" s="44">
        <f t="shared" si="108"/>
        <v>-1.002419182</v>
      </c>
      <c r="M202" s="43"/>
      <c r="N202" s="43"/>
      <c r="O202" s="2"/>
      <c r="P202" s="1"/>
      <c r="Q202" s="43"/>
      <c r="R202" s="43"/>
      <c r="S202" s="43"/>
      <c r="T202" s="43"/>
      <c r="U202" s="43"/>
      <c r="V202" s="43"/>
      <c r="W202" s="43"/>
      <c r="X202" s="2"/>
      <c r="Y202" s="2"/>
      <c r="Z202" s="2"/>
    </row>
    <row r="203">
      <c r="F203" s="16"/>
      <c r="G203" s="16"/>
      <c r="H203" s="136"/>
      <c r="I203" s="45">
        <f t="shared" ref="I203:K203" si="109">NORMINV(rand(),0, sqrt(2/5))</f>
        <v>-0.1484853258</v>
      </c>
      <c r="J203" s="46">
        <f t="shared" si="109"/>
        <v>-0.3685203785</v>
      </c>
      <c r="K203" s="47">
        <f t="shared" si="109"/>
        <v>0.7740782843</v>
      </c>
      <c r="M203" s="43"/>
      <c r="N203" s="43"/>
      <c r="O203" s="2"/>
      <c r="P203" s="2"/>
      <c r="Q203" s="2"/>
      <c r="R203" s="2"/>
      <c r="S203" s="2"/>
      <c r="T203" s="2"/>
      <c r="U203" s="43"/>
      <c r="V203" s="43"/>
      <c r="W203" s="43"/>
      <c r="X203" s="2"/>
      <c r="Y203" s="2"/>
      <c r="Z203" s="2"/>
    </row>
    <row r="204">
      <c r="F204" s="16"/>
      <c r="G204" s="16"/>
      <c r="H204" s="1"/>
      <c r="I204" s="43"/>
      <c r="J204" s="43"/>
      <c r="K204" s="43"/>
      <c r="M204" s="43"/>
      <c r="N204" s="43"/>
      <c r="O204" s="2"/>
      <c r="P204" s="1"/>
      <c r="Q204" s="43"/>
      <c r="R204" s="43"/>
      <c r="S204" s="43"/>
      <c r="T204" s="43"/>
      <c r="U204" s="43"/>
      <c r="V204" s="43"/>
      <c r="W204" s="43"/>
      <c r="X204" s="2"/>
      <c r="Y204" s="2"/>
      <c r="Z204" s="2"/>
    </row>
    <row r="205">
      <c r="A205" s="135" t="s">
        <v>39</v>
      </c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23" t="s">
        <v>4</v>
      </c>
      <c r="C207" s="39">
        <f t="shared" ref="C207:E207" si="110">NORMINV(rand(),0, sqrt(2/5))</f>
        <v>0.1924326723</v>
      </c>
      <c r="D207" s="40">
        <f t="shared" si="110"/>
        <v>0.5370797459</v>
      </c>
      <c r="E207" s="41">
        <f t="shared" si="110"/>
        <v>1.187342401</v>
      </c>
      <c r="F207" s="43"/>
      <c r="G207" s="43"/>
      <c r="U207" s="2"/>
      <c r="V207" s="2"/>
      <c r="W207" s="2"/>
      <c r="X207" s="2"/>
      <c r="Y207" s="2"/>
      <c r="Z207" s="2"/>
    </row>
    <row r="208">
      <c r="B208" s="1"/>
      <c r="C208" s="42">
        <f t="shared" ref="C208:E208" si="111">NORMINV(rand(),0, sqrt(2/5))</f>
        <v>0.1492728657</v>
      </c>
      <c r="D208" s="43">
        <f t="shared" si="111"/>
        <v>-0.3292911102</v>
      </c>
      <c r="E208" s="44">
        <f t="shared" si="111"/>
        <v>-0.6590263961</v>
      </c>
      <c r="F208" s="43"/>
      <c r="G208" s="43"/>
      <c r="U208" s="2"/>
      <c r="V208" s="2"/>
      <c r="W208" s="2"/>
      <c r="X208" s="2"/>
      <c r="Y208" s="2"/>
      <c r="Z208" s="2"/>
    </row>
    <row r="209">
      <c r="B209" s="1"/>
      <c r="C209" s="45">
        <f t="shared" ref="C209:E209" si="112">NORMINV(rand(),0, sqrt(2/5))</f>
        <v>0.4430401944</v>
      </c>
      <c r="D209" s="46">
        <f t="shared" si="112"/>
        <v>-0.2187571809</v>
      </c>
      <c r="E209" s="47">
        <f t="shared" si="112"/>
        <v>0.2024331452</v>
      </c>
      <c r="F209" s="43"/>
      <c r="G209" s="43"/>
      <c r="W209" s="43"/>
      <c r="X209" s="43"/>
      <c r="Y209" s="43"/>
      <c r="Z209" s="43"/>
    </row>
    <row r="210">
      <c r="D210" s="4" t="s">
        <v>24</v>
      </c>
      <c r="W210" s="43"/>
      <c r="X210" s="43"/>
      <c r="Y210" s="43"/>
      <c r="Z210" s="43"/>
    </row>
    <row r="211">
      <c r="C211" s="16"/>
      <c r="D211" s="4" t="s">
        <v>24</v>
      </c>
      <c r="E211" s="16"/>
      <c r="F211" s="16"/>
      <c r="G211" s="16"/>
      <c r="W211" s="43"/>
      <c r="X211" s="43"/>
      <c r="Y211" s="43"/>
      <c r="Z211" s="43"/>
    </row>
    <row r="212">
      <c r="B212" s="23" t="s">
        <v>44</v>
      </c>
      <c r="C212" s="12">
        <f t="array" ref="C212:E214">MMULT(O212:T214 ,MMULT(I212:K217,C207:E209))+C207:E209</f>
        <v>-0.2054019274</v>
      </c>
      <c r="D212" s="13">
        <v>0.9415884040943272</v>
      </c>
      <c r="E212" s="14">
        <v>1.3440369230939333</v>
      </c>
      <c r="F212" s="16"/>
      <c r="G212" s="16"/>
      <c r="H212" s="23" t="s">
        <v>26</v>
      </c>
      <c r="I212" s="39">
        <f t="shared" ref="I212:K212" si="113">NORMINV(rand(),0, sqrt(2/5))</f>
        <v>1.055961263</v>
      </c>
      <c r="J212" s="40">
        <f t="shared" si="113"/>
        <v>-0.4205878168</v>
      </c>
      <c r="K212" s="41">
        <f t="shared" si="113"/>
        <v>1.11340138</v>
      </c>
      <c r="N212" s="23" t="s">
        <v>30</v>
      </c>
      <c r="O212" s="39">
        <f t="shared" ref="O212:T212" si="114">NORMINV(rand(),0, sqrt(2/5))</f>
        <v>-0.2419748753</v>
      </c>
      <c r="P212" s="40">
        <f t="shared" si="114"/>
        <v>1.207020071</v>
      </c>
      <c r="Q212" s="40">
        <f t="shared" si="114"/>
        <v>0.3703740739</v>
      </c>
      <c r="R212" s="40">
        <f t="shared" si="114"/>
        <v>-0.1830524891</v>
      </c>
      <c r="S212" s="40">
        <f t="shared" si="114"/>
        <v>0.3848508552</v>
      </c>
      <c r="T212" s="41">
        <f t="shared" si="114"/>
        <v>-0.8642188099</v>
      </c>
      <c r="U212" s="43"/>
      <c r="V212" s="43"/>
      <c r="W212" s="43"/>
      <c r="X212" s="43"/>
      <c r="Y212" s="43"/>
      <c r="Z212" s="43"/>
    </row>
    <row r="213">
      <c r="B213" s="23" t="s">
        <v>45</v>
      </c>
      <c r="C213" s="17">
        <v>1.1429557648784434</v>
      </c>
      <c r="D213" s="16">
        <v>-0.8746800246561095</v>
      </c>
      <c r="E213" s="18">
        <v>-0.49188761847574086</v>
      </c>
      <c r="F213" s="16"/>
      <c r="G213" s="16"/>
      <c r="H213" s="23" t="s">
        <v>27</v>
      </c>
      <c r="I213" s="42">
        <f t="shared" ref="I213:K213" si="115">NORMINV(rand(),0, sqrt(2/5))</f>
        <v>0.9092536226</v>
      </c>
      <c r="J213" s="43">
        <f t="shared" si="115"/>
        <v>-0.4603608085</v>
      </c>
      <c r="K213" s="44">
        <f t="shared" si="115"/>
        <v>-0.2130923283</v>
      </c>
      <c r="N213" s="23" t="s">
        <v>32</v>
      </c>
      <c r="O213" s="42">
        <f t="shared" ref="O213:T213" si="116">NORMINV(rand(),0, sqrt(2/5))</f>
        <v>-0.3375115516</v>
      </c>
      <c r="P213" s="43">
        <f t="shared" si="116"/>
        <v>-0.8412487294</v>
      </c>
      <c r="Q213" s="43">
        <f t="shared" si="116"/>
        <v>-1.308578774</v>
      </c>
      <c r="R213" s="43">
        <f t="shared" si="116"/>
        <v>0.7203367425</v>
      </c>
      <c r="S213" s="43">
        <f t="shared" si="116"/>
        <v>0.3170422792</v>
      </c>
      <c r="T213" s="44">
        <f t="shared" si="116"/>
        <v>-0.008751848256</v>
      </c>
      <c r="U213" s="43"/>
      <c r="V213" s="43"/>
      <c r="W213" s="43"/>
      <c r="X213" s="43"/>
      <c r="Y213" s="43"/>
      <c r="Z213" s="43"/>
    </row>
    <row r="214">
      <c r="B214" s="139" t="s">
        <v>38</v>
      </c>
      <c r="C214" s="19">
        <v>1.1423389381093503</v>
      </c>
      <c r="D214" s="20">
        <v>0.2142697082834745</v>
      </c>
      <c r="E214" s="21">
        <v>2.0500551358423835</v>
      </c>
      <c r="F214" s="16"/>
      <c r="G214" s="16"/>
      <c r="H214" s="1"/>
      <c r="I214" s="42">
        <f t="shared" ref="I214:K214" si="117">NORMINV(rand(),0, sqrt(2/5))</f>
        <v>-0.2037357257</v>
      </c>
      <c r="J214" s="43">
        <f t="shared" si="117"/>
        <v>-0.3006428026</v>
      </c>
      <c r="K214" s="44">
        <f t="shared" si="117"/>
        <v>-0.6863821163</v>
      </c>
      <c r="N214" s="1"/>
      <c r="O214" s="45">
        <f t="shared" ref="O214:T214" si="118">NORMINV(rand(),0, sqrt(2/5))</f>
        <v>0.05017441601</v>
      </c>
      <c r="P214" s="46">
        <f t="shared" si="118"/>
        <v>0.2774178395</v>
      </c>
      <c r="Q214" s="46">
        <f t="shared" si="118"/>
        <v>-0.2305222991</v>
      </c>
      <c r="R214" s="46">
        <f t="shared" si="118"/>
        <v>0.7258266778</v>
      </c>
      <c r="S214" s="46">
        <f t="shared" si="118"/>
        <v>-0.5364017483</v>
      </c>
      <c r="T214" s="47">
        <f t="shared" si="118"/>
        <v>0.3835617275</v>
      </c>
      <c r="U214" s="2"/>
      <c r="V214" s="2"/>
      <c r="W214" s="2"/>
      <c r="X214" s="2"/>
      <c r="Y214" s="2"/>
      <c r="Z214" s="2"/>
    </row>
    <row r="215">
      <c r="D215" s="4" t="s">
        <v>24</v>
      </c>
      <c r="F215" s="16"/>
      <c r="G215" s="16"/>
      <c r="H215" s="1"/>
      <c r="I215" s="42">
        <f t="shared" ref="I215:K215" si="119">NORMINV(rand(),0, sqrt(2/5))</f>
        <v>1.123933459</v>
      </c>
      <c r="J215" s="43">
        <f t="shared" si="119"/>
        <v>-0.3648918557</v>
      </c>
      <c r="K215" s="44">
        <f t="shared" si="119"/>
        <v>1.688178259</v>
      </c>
      <c r="M215" s="43"/>
      <c r="N215" s="43"/>
      <c r="O215" s="2"/>
      <c r="P215" s="136"/>
      <c r="Q215" s="43"/>
      <c r="R215" s="43"/>
      <c r="S215" s="43"/>
      <c r="T215" s="43"/>
      <c r="U215" s="43"/>
      <c r="V215" s="43"/>
      <c r="W215" s="43"/>
      <c r="X215" s="2"/>
      <c r="Y215" s="2"/>
      <c r="Z215" s="2"/>
    </row>
    <row r="216">
      <c r="D216" s="4" t="s">
        <v>24</v>
      </c>
      <c r="F216" s="16"/>
      <c r="G216" s="16"/>
      <c r="H216" s="1"/>
      <c r="I216" s="42">
        <f t="shared" ref="I216:K216" si="120">NORMINV(rand(),0, sqrt(2/5))</f>
        <v>0.7493553987</v>
      </c>
      <c r="J216" s="43">
        <f t="shared" si="120"/>
        <v>0.03946771104</v>
      </c>
      <c r="K216" s="44">
        <f t="shared" si="120"/>
        <v>0.04844264222</v>
      </c>
      <c r="M216" s="43"/>
      <c r="N216" s="43"/>
      <c r="O216" s="2"/>
      <c r="P216" s="1"/>
      <c r="Q216" s="43"/>
      <c r="R216" s="43"/>
      <c r="S216" s="43"/>
      <c r="T216" s="43"/>
      <c r="U216" s="43"/>
      <c r="V216" s="43"/>
      <c r="W216" s="43"/>
      <c r="X216" s="2"/>
      <c r="Y216" s="2"/>
      <c r="Z216" s="2"/>
    </row>
    <row r="217">
      <c r="D217" s="4" t="s">
        <v>24</v>
      </c>
      <c r="F217" s="16"/>
      <c r="G217" s="16"/>
      <c r="H217" s="136"/>
      <c r="I217" s="45">
        <f t="shared" ref="I217:K217" si="121">NORMINV(rand(),0, sqrt(2/5))</f>
        <v>0.5629011102</v>
      </c>
      <c r="J217" s="46">
        <f t="shared" si="121"/>
        <v>-0.6550992458</v>
      </c>
      <c r="K217" s="47">
        <f t="shared" si="121"/>
        <v>0.01412318883</v>
      </c>
      <c r="M217" s="43"/>
      <c r="N217" s="43"/>
      <c r="O217" s="2"/>
      <c r="P217" s="2"/>
      <c r="Q217" s="2"/>
      <c r="R217" s="2"/>
      <c r="S217" s="2"/>
      <c r="T217" s="2"/>
      <c r="U217" s="43"/>
      <c r="V217" s="43"/>
      <c r="W217" s="43"/>
      <c r="X217" s="2"/>
      <c r="Y217" s="2"/>
      <c r="Z217" s="2"/>
    </row>
    <row r="218">
      <c r="D218" s="4" t="s">
        <v>24</v>
      </c>
      <c r="W218" s="43"/>
      <c r="X218" s="43"/>
      <c r="Y218" s="43"/>
      <c r="Z218" s="43"/>
    </row>
    <row r="219">
      <c r="D219" s="4" t="s">
        <v>24</v>
      </c>
      <c r="W219" s="43"/>
      <c r="X219" s="43"/>
      <c r="Y219" s="43"/>
      <c r="Z219" s="43"/>
    </row>
    <row r="220">
      <c r="B220" s="23" t="s">
        <v>40</v>
      </c>
      <c r="C220" s="12">
        <f t="array" ref="C220:E222">LET(x,C212:E214,rms,SQRT(MMULT(x^2,SEQUENCE(3,1,1/3,0))),x/rms)</f>
        <v>-0.2151144045</v>
      </c>
      <c r="D220" s="13">
        <v>0.9861116267257896</v>
      </c>
      <c r="E220" s="14">
        <v>1.4075900158164112</v>
      </c>
      <c r="W220" s="43"/>
      <c r="X220" s="43"/>
      <c r="Y220" s="43"/>
      <c r="Z220" s="43"/>
    </row>
    <row r="221">
      <c r="C221" s="17">
        <v>1.3015709080032745</v>
      </c>
      <c r="D221" s="16">
        <v>-0.9960648599773739</v>
      </c>
      <c r="E221" s="18">
        <v>-0.5601499497079209</v>
      </c>
      <c r="W221" s="43"/>
      <c r="X221" s="43"/>
      <c r="Y221" s="43"/>
      <c r="Z221" s="43"/>
    </row>
    <row r="222">
      <c r="C222" s="19">
        <v>0.8395938626740831</v>
      </c>
      <c r="D222" s="20">
        <v>0.15748349813717938</v>
      </c>
      <c r="E222" s="21">
        <v>1.5067451986233404</v>
      </c>
      <c r="W222" s="43"/>
      <c r="X222" s="43"/>
      <c r="Y222" s="43"/>
      <c r="Z222" s="43"/>
    </row>
    <row r="223">
      <c r="F223" s="16"/>
      <c r="G223" s="16"/>
      <c r="H223" s="1"/>
      <c r="I223" s="43"/>
      <c r="J223" s="43"/>
      <c r="K223" s="43"/>
      <c r="M223" s="43"/>
      <c r="N223" s="43"/>
      <c r="O223" s="2"/>
      <c r="P223" s="1"/>
      <c r="Q223" s="43"/>
      <c r="R223" s="43"/>
      <c r="S223" s="43"/>
      <c r="T223" s="43"/>
      <c r="U223" s="43"/>
      <c r="V223" s="43"/>
      <c r="W223" s="43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B1036" s="1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B1037" s="1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B1038" s="1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B1039" s="1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B1040" s="1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B1041" s="1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B1042" s="1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B1043" s="1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B1044" s="1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B1045" s="1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B1046" s="1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B1047" s="1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B1048" s="1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B1049" s="1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B1050" s="1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B1051" s="1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B1052" s="1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B1053" s="1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B1054" s="1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B1055" s="1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B1056" s="1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B1057" s="1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B1058" s="1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B1059" s="1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B1060" s="1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B1061" s="1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B1062" s="1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B1063" s="1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B1064" s="1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B1065" s="1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B1066" s="1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B1067" s="1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B1068" s="1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B1069" s="1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B1070" s="1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B1071" s="1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B1072" s="1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B1073" s="1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B1074" s="1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B1075" s="1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B1076" s="1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B1077" s="1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B1078" s="1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B1079" s="1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B1080" s="1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B1081" s="1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B1082" s="1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B1083" s="1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B1084" s="1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B1085" s="1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B1086" s="1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B1087" s="1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B1088" s="1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B1089" s="1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B1090" s="1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B1091" s="1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B1092" s="1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B1093" s="1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B1094" s="1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B1095" s="1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B1096" s="1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B1097" s="1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B1098" s="1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B1099" s="1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B1100" s="1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B1101" s="1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B1102" s="1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B1103" s="1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B1104" s="1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B1105" s="1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B1106" s="1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B1107" s="1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B1108" s="1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B1109" s="1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B1110" s="1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B1111" s="1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B1112" s="1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B1113" s="1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B1114" s="1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B1115" s="1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B1116" s="1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B1117" s="1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B1118" s="1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B1119" s="1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B1120" s="1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B1121" s="1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B1122" s="1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B1123" s="1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B1124" s="1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B1125" s="1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B1126" s="1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B1127" s="1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B1128" s="1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B1129" s="1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B1130" s="1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B1131" s="1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B1132" s="1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B1133" s="1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B1134" s="1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B1135" s="1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B1136" s="1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B1137" s="1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B1138" s="1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B1139" s="1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B1140" s="1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B1141" s="1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B1142" s="1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B1143" s="1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B1144" s="1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B1145" s="1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B1146" s="1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B1147" s="1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B1148" s="1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</sheetData>
  <mergeCells count="20">
    <mergeCell ref="A2:Z2"/>
    <mergeCell ref="G9:J9"/>
    <mergeCell ref="A18:D18"/>
    <mergeCell ref="G18:H18"/>
    <mergeCell ref="A27:D28"/>
    <mergeCell ref="A37:Z37"/>
    <mergeCell ref="H51:K52"/>
    <mergeCell ref="B99:E100"/>
    <mergeCell ref="A108:Z108"/>
    <mergeCell ref="A125:Z125"/>
    <mergeCell ref="A171:Z171"/>
    <mergeCell ref="A186:Z186"/>
    <mergeCell ref="A205:Z205"/>
    <mergeCell ref="A55:D55"/>
    <mergeCell ref="G55:H55"/>
    <mergeCell ref="A64:D65"/>
    <mergeCell ref="A74:Z74"/>
    <mergeCell ref="G81:J81"/>
    <mergeCell ref="B90:E90"/>
    <mergeCell ref="H90:I90"/>
  </mergeCells>
  <conditionalFormatting sqref="C127:G131 N133:N170 O133:S162 T133:W158 J134:M143 J157:M170 J172:N185 C174:G179 I174:I185 O174:T185 U174:Z178 U180:W185 X185:Z185 I187:T204 U187:Z199 C188:G200 U201:W204 I206:T223 U206:Z213 C207:G214 U215:W223 D217:D222 C218:C222 E218:G222 X218:Z222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34:G143 C177:G185 C187:G187 C189:G204 C206:G206 C208:G22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58:G162 C189:G197 C200:G204 C208:G211 C214:G223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65:G16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:G15 D81:H87 C110:G114">
    <cfRule type="colorScale" priority="5">
      <colorScale>
        <cfvo type="min"/>
        <cfvo type="max"/>
        <color rgb="FFFFFFFF"/>
        <color rgb="FF57BB8A"/>
      </colorScale>
    </cfRule>
  </conditionalFormatting>
  <conditionalFormatting sqref="C30:G34 D102:H106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0:G24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57:G61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67:G71">
    <cfRule type="colorScale" priority="9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D92:H96">
    <cfRule type="colorScale" priority="10">
      <colorScale>
        <cfvo type="min"/>
        <cfvo type="max"/>
        <color rgb="FFFFFFFF"/>
        <color rgb="FF57BB8A"/>
      </colorScale>
    </cfRule>
  </conditionalFormatting>
  <conditionalFormatting sqref="C117:G121">
    <cfRule type="colorScale" priority="11">
      <colorScale>
        <cfvo type="min"/>
        <cfvo type="max"/>
        <color rgb="FFFFFFFF"/>
        <color rgb="FF57BB8A"/>
      </colorScale>
    </cfRule>
  </conditionalFormatting>
  <conditionalFormatting sqref="I117:M121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46:G155">
    <cfRule type="colorScale" priority="13">
      <colorScale>
        <cfvo type="min"/>
        <cfvo type="max"/>
        <color rgb="FFFFFFFF"/>
        <color rgb="FF57BB8A"/>
      </colorScale>
    </cfRule>
  </conditionalFormatting>
  <conditionalFormatting sqref="O117:S121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