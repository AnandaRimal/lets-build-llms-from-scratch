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<sst xmlns="http://schemas.openxmlformats.org/spreadsheetml/2006/main" count="88" uniqueCount="28">
  <si>
    <t>Activation function: ReLU, an example</t>
  </si>
  <si>
    <t>Input</t>
  </si>
  <si>
    <t>ReLU</t>
  </si>
  <si>
    <t>[FILL]</t>
  </si>
  <si>
    <t>Activation function: ReLU, 1D array/tensor</t>
  </si>
  <si>
    <t>Activation function: ReLU, chart</t>
  </si>
  <si>
    <t>Activation function: ReLU, 2D array/tensor</t>
  </si>
  <si>
    <t>Activation function: ReLU^2</t>
  </si>
  <si>
    <t>ReLU^2</t>
  </si>
  <si>
    <t>Activation function: Leaky ReLU</t>
  </si>
  <si>
    <t xml:space="preserve">Leaky alpha </t>
  </si>
  <si>
    <t>Leaky ReLU</t>
  </si>
  <si>
    <t>IF(C124&gt;0,C124, C123*$C$121)</t>
  </si>
  <si>
    <t>Activation function: GeLU</t>
  </si>
  <si>
    <t>GeLU</t>
  </si>
  <si>
    <t>Activation function: Tanh, Sigmoid, Swish, SwiGLU</t>
  </si>
  <si>
    <t>Tanh</t>
  </si>
  <si>
    <t>Sigmoid</t>
  </si>
  <si>
    <t>Swish</t>
  </si>
  <si>
    <t>SwiGLU(ish)</t>
  </si>
  <si>
    <t xml:space="preserve">[Exercise] Where do activation functions agree? </t>
  </si>
  <si>
    <t xml:space="preserve">Where do they diverge? </t>
  </si>
  <si>
    <t xml:space="preserve">Which is the most interesting quadrant here? </t>
  </si>
  <si>
    <t>Activation function: Combined ReLU</t>
  </si>
  <si>
    <t>ReLU(-x)</t>
  </si>
  <si>
    <t>ReLU+-ReLU</t>
  </si>
  <si>
    <t xml:space="preserve">[Exercise] why would combining activation functions be useful? </t>
  </si>
  <si>
    <t>Exercise: which is the most interesting quadrant?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</si>
</sst>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rgb="FFB7B7B7"/>
      <name val="Arial"/>
      <scheme val="minor"/>
    </font>
    <font>
      <i/>
      <color rgb="FFCCCCCC"/>
      <name val="Arial"/>
      <scheme val="minor"/>
    </font>
    <font>
      <i/>
      <color rgb="FFEFEFEF"/>
      <name val="Arial"/>
      <scheme val="minor"/>
    </font>
    <font>
      <color rgb="FFEFEFEF"/>
      <name val="Arial"/>
      <scheme val="minor"/>
    </font>
    <font>
      <i/>
      <color rgb="FFD9D9D9"/>
      <name val="Arial"/>
      <scheme val="minor"/>
    </font>
    <font>
      <color rgb="FFD9D9D9"/>
      <name val="Arial"/>
      <scheme val="minor"/>
    </font>
    <font>
      <color rgb="FFB7B7B7"/>
      <name val="Arial"/>
      <scheme val="minor"/>
    </font>
    <font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1" fillId="0" fontId="1" numFmtId="0" xfId="0" applyBorder="1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11" numFmtId="0" xfId="0" applyFont="1"/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plotArea>
      <c:layout/>
      <c:lineChart>
        <c:varyColors val="0"/>
        <c:axId val="1778067775"/>
        <c:axId val="540304969"/>
      </c:lineChart>
      <c:catAx>
        <c:axId val="1778067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304969"/>
      </c:catAx>
      <c:valAx>
        <c:axId val="5403049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78067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Answers'!$C$93:$V$93</c:f>
            </c:strRef>
          </c:cat>
          <c:val>
            <c:numRef>
              <c:f>'wo Answers'!$C$94:$V$94</c:f>
              <c:numCache/>
            </c:numRef>
          </c:val>
          <c:smooth val="0"/>
        </c:ser>
        <c:axId val="1371025047"/>
        <c:axId val="960756593"/>
      </c:lineChart>
      <c:catAx>
        <c:axId val="1371025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756593"/>
      </c:catAx>
      <c:valAx>
        <c:axId val="960756593"/>
        <c:scaling>
          <c:orientation val="minMax"/>
          <c:min val="-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1025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Answers'!$C$123:$V$123</c:f>
            </c:strRef>
          </c:cat>
          <c:val>
            <c:numRef>
              <c:f>'wo Answers'!$C$124:$V$124</c:f>
              <c:numCache/>
            </c:numRef>
          </c:val>
          <c:smooth val="0"/>
        </c:ser>
        <c:ser>
          <c:idx val="1"/>
          <c:order val="1"/>
          <c:tx>
            <c:strRef>
              <c:f>'wo Answers'!$B$125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Answers'!$C$123:$V$123</c:f>
            </c:strRef>
          </c:cat>
          <c:val>
            <c:numRef>
              <c:f>'wo Answers'!$C$125:$V$125</c:f>
              <c:numCache/>
            </c:numRef>
          </c:val>
          <c:smooth val="0"/>
        </c:ser>
        <c:axId val="1160495611"/>
        <c:axId val="251911120"/>
      </c:lineChart>
      <c:catAx>
        <c:axId val="1160495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911120"/>
      </c:catAx>
      <c:valAx>
        <c:axId val="251911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495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Answers'!$B$157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Answers'!$C$156:$V$156</c:f>
            </c:strRef>
          </c:cat>
          <c:val>
            <c:numRef>
              <c:f>'wo Answers'!$C$157:$V$157</c:f>
              <c:numCache/>
            </c:numRef>
          </c:val>
          <c:smooth val="0"/>
        </c:ser>
        <c:ser>
          <c:idx val="1"/>
          <c:order val="1"/>
          <c:tx>
            <c:strRef>
              <c:f>'wo Answers'!$B$158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Answers'!$C$156:$V$156</c:f>
            </c:strRef>
          </c:cat>
          <c:val>
            <c:numRef>
              <c:f>'wo Answers'!$C$158:$V$158</c:f>
              <c:numCache/>
            </c:numRef>
          </c:val>
          <c:smooth val="0"/>
        </c:ser>
        <c:axId val="1294180954"/>
        <c:axId val="656006937"/>
      </c:lineChart>
      <c:catAx>
        <c:axId val="129418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006937"/>
      </c:catAx>
      <c:valAx>
        <c:axId val="656006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180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'wo Answers'!$B$190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Answers'!$C$190:$AI$190</c:f>
              <c:numCache/>
            </c:numRef>
          </c:val>
          <c:smooth val="0"/>
        </c:ser>
        <c:ser>
          <c:idx val="1"/>
          <c:order val="1"/>
          <c:tx>
            <c:strRef>
              <c:f>'wo Answers'!$B$191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Answers'!$C$191:$AI$191</c:f>
              <c:numCache/>
            </c:numRef>
          </c:val>
          <c:smooth val="0"/>
        </c:ser>
        <c:ser>
          <c:idx val="2"/>
          <c:order val="2"/>
          <c:tx>
            <c:strRef>
              <c:f>'wo Answers'!$B$192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Answers'!$C$192:$AI$192</c:f>
              <c:numCache/>
            </c:numRef>
          </c:val>
          <c:smooth val="0"/>
        </c:ser>
        <c:ser>
          <c:idx val="3"/>
          <c:order val="3"/>
          <c:tx>
            <c:strRef>
              <c:f>'wo Answers'!$B$193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Answers'!$C$193:$AI$193</c:f>
              <c:numCache/>
            </c:numRef>
          </c:val>
          <c:smooth val="0"/>
        </c:ser>
        <c:ser>
          <c:idx val="4"/>
          <c:order val="4"/>
          <c:tx>
            <c:strRef>
              <c:f>'wo Answers'!$B$194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Answers'!$C$194:$AI$194</c:f>
              <c:numCache/>
            </c:numRef>
          </c:val>
          <c:smooth val="0"/>
        </c:ser>
        <c:ser>
          <c:idx val="5"/>
          <c:order val="5"/>
          <c:tx>
            <c:strRef>
              <c:f>'wo Answers'!$B$195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Answers'!$C$195:$AI$195</c:f>
              <c:numCache/>
            </c:numRef>
          </c:val>
          <c:smooth val="0"/>
        </c:ser>
        <c:ser>
          <c:idx val="6"/>
          <c:order val="6"/>
          <c:tx>
            <c:strRef>
              <c:f>'wo Answers'!$B$196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Answers'!$C$196:$AI$196</c:f>
              <c:numCache/>
            </c:numRef>
          </c:val>
          <c:smooth val="0"/>
        </c:ser>
        <c:ser>
          <c:idx val="7"/>
          <c:order val="7"/>
          <c:tx>
            <c:strRef>
              <c:f>'wo Answers'!$B$197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'wo Answers'!$C$189:$AI$189</c:f>
            </c:strRef>
          </c:cat>
          <c:val>
            <c:numRef>
              <c:f>'wo Answers'!$C$197:$AI$197</c:f>
              <c:numCache/>
            </c:numRef>
          </c:val>
          <c:smooth val="0"/>
        </c:ser>
        <c:axId val="1533785798"/>
        <c:axId val="1707204924"/>
      </c:lineChart>
      <c:catAx>
        <c:axId val="1533785798"/>
        <c:scaling>
          <c:orientation val="minMax"/>
          <c:max val="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204924"/>
      </c:catAx>
      <c:valAx>
        <c:axId val="1707204924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785798"/>
      </c:valAx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Answers'!$B$232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Answers'!$C$229:$AI$229</c:f>
            </c:strRef>
          </c:cat>
          <c:val>
            <c:numRef>
              <c:f>'w Answers'!$C$232:$AI$232</c:f>
              <c:numCache/>
            </c:numRef>
          </c:val>
          <c:smooth val="0"/>
        </c:ser>
        <c:axId val="1952974832"/>
        <c:axId val="1472432630"/>
      </c:lineChart>
      <c:catAx>
        <c:axId val="1952974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432630"/>
      </c:catAx>
      <c:valAx>
        <c:axId val="1472432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974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Input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Answers'!$B$9</c:f>
            </c:strRef>
          </c:tx>
          <c:spPr>
            <a:ln cmpd="sng" w="7620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'w Answers'!$C$8:$V$8</c:f>
            </c:strRef>
          </c:cat>
          <c:val>
            <c:numRef>
              <c:f>'w Answers'!$C$9:$V$9</c:f>
              <c:numCache/>
            </c:numRef>
          </c:val>
          <c:smooth val="0"/>
        </c:ser>
        <c:axId val="1247317213"/>
        <c:axId val="1905894014"/>
      </c:lineChart>
      <c:catAx>
        <c:axId val="1247317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3600">
                <a:solidFill>
                  <a:srgbClr val="000000"/>
                </a:solidFill>
                <a:latin typeface="+mn-lt"/>
              </a:defRPr>
            </a:pPr>
          </a:p>
        </c:txPr>
        <c:crossAx val="1905894014"/>
      </c:catAx>
      <c:valAx>
        <c:axId val="1905894014"/>
        <c:scaling>
          <c:orientation val="minMax"/>
          <c:max val="4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3600">
                <a:solidFill>
                  <a:srgbClr val="000000"/>
                </a:solidFill>
                <a:latin typeface="+mn-lt"/>
              </a:defRPr>
            </a:pPr>
          </a:p>
        </c:txPr>
        <c:crossAx val="1247317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and ReLU^2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Answers'!$B$94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Answers'!$C$93:$V$93</c:f>
            </c:strRef>
          </c:cat>
          <c:val>
            <c:numRef>
              <c:f>'w Answers'!$C$94:$V$94</c:f>
              <c:numCache/>
            </c:numRef>
          </c:val>
          <c:smooth val="0"/>
        </c:ser>
        <c:ser>
          <c:idx val="1"/>
          <c:order val="1"/>
          <c:tx>
            <c:strRef>
              <c:f>'w Answers'!$B$95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Answers'!$C$93:$V$93</c:f>
            </c:strRef>
          </c:cat>
          <c:val>
            <c:numRef>
              <c:f>'w Answers'!$C$95:$V$95</c:f>
              <c:numCache/>
            </c:numRef>
          </c:val>
          <c:smooth val="0"/>
        </c:ser>
        <c:axId val="2098662593"/>
        <c:axId val="756643133"/>
      </c:lineChart>
      <c:catAx>
        <c:axId val="2098662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643133"/>
      </c:catAx>
      <c:valAx>
        <c:axId val="756643133"/>
        <c:scaling>
          <c:orientation val="minMax"/>
          <c:min val="-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662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ReLU, ReLU^2 and Leaky ReLU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Answers'!$B$124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Answers'!$C$124:$V$124</c:f>
              <c:numCache/>
            </c:numRef>
          </c:val>
          <c:smooth val="0"/>
        </c:ser>
        <c:ser>
          <c:idx val="1"/>
          <c:order val="1"/>
          <c:tx>
            <c:strRef>
              <c:f>'w Answers'!$B$125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Answers'!$C$125:$V$125</c:f>
              <c:numCache/>
            </c:numRef>
          </c:val>
          <c:smooth val="0"/>
        </c:ser>
        <c:ser>
          <c:idx val="2"/>
          <c:order val="2"/>
          <c:tx>
            <c:strRef>
              <c:f>'w Answers'!$B$126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 Answers'!$C$123:$V$123</c:f>
            </c:strRef>
          </c:cat>
          <c:val>
            <c:numRef>
              <c:f>'w Answers'!$C$126:$V$126</c:f>
              <c:numCache/>
            </c:numRef>
          </c:val>
          <c:smooth val="0"/>
        </c:ser>
        <c:axId val="1129257784"/>
        <c:axId val="552761024"/>
      </c:lineChart>
      <c:catAx>
        <c:axId val="112925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761024"/>
      </c:catAx>
      <c:valAx>
        <c:axId val="552761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257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ReLU vs. GeLU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Answers'!$B$157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Answers'!$C$156:$V$156</c:f>
            </c:strRef>
          </c:cat>
          <c:val>
            <c:numRef>
              <c:f>'w Answers'!$C$157:$V$157</c:f>
              <c:numCache/>
            </c:numRef>
          </c:val>
          <c:smooth val="0"/>
        </c:ser>
        <c:ser>
          <c:idx val="1"/>
          <c:order val="1"/>
          <c:tx>
            <c:strRef>
              <c:f>'w Answers'!$B$158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Answers'!$C$156:$V$156</c:f>
            </c:strRef>
          </c:cat>
          <c:val>
            <c:numRef>
              <c:f>'w Answers'!$C$158:$V$158</c:f>
              <c:numCache/>
            </c:numRef>
          </c:val>
          <c:smooth val="0"/>
        </c:ser>
        <c:axId val="588979848"/>
        <c:axId val="962063513"/>
      </c:lineChart>
      <c:catAx>
        <c:axId val="588979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063513"/>
      </c:catAx>
      <c:valAx>
        <c:axId val="962063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979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'w Answers'!$B$190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Answers'!$C$190:$AI$190</c:f>
              <c:numCache/>
            </c:numRef>
          </c:val>
          <c:smooth val="0"/>
        </c:ser>
        <c:ser>
          <c:idx val="1"/>
          <c:order val="1"/>
          <c:tx>
            <c:strRef>
              <c:f>'w Answers'!$B$191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Answers'!$C$191:$AI$191</c:f>
              <c:numCache/>
            </c:numRef>
          </c:val>
          <c:smooth val="0"/>
        </c:ser>
        <c:ser>
          <c:idx val="2"/>
          <c:order val="2"/>
          <c:tx>
            <c:strRef>
              <c:f>'w Answers'!$B$192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Answers'!$C$192:$AI$192</c:f>
              <c:numCache/>
            </c:numRef>
          </c:val>
          <c:smooth val="0"/>
        </c:ser>
        <c:ser>
          <c:idx val="3"/>
          <c:order val="3"/>
          <c:tx>
            <c:strRef>
              <c:f>'w Answers'!$B$193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Answers'!$C$193:$AI$193</c:f>
              <c:numCache/>
            </c:numRef>
          </c:val>
          <c:smooth val="0"/>
        </c:ser>
        <c:ser>
          <c:idx val="4"/>
          <c:order val="4"/>
          <c:tx>
            <c:strRef>
              <c:f>'w Answers'!$B$194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Answers'!$C$194:$AI$194</c:f>
              <c:numCache/>
            </c:numRef>
          </c:val>
          <c:smooth val="0"/>
        </c:ser>
        <c:ser>
          <c:idx val="5"/>
          <c:order val="5"/>
          <c:tx>
            <c:strRef>
              <c:f>'w Answers'!$B$195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Answers'!$C$195:$AI$195</c:f>
              <c:numCache/>
            </c:numRef>
          </c:val>
          <c:smooth val="0"/>
        </c:ser>
        <c:ser>
          <c:idx val="6"/>
          <c:order val="6"/>
          <c:tx>
            <c:strRef>
              <c:f>'w Answers'!$B$196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Answers'!$C$196:$AI$196</c:f>
              <c:numCache/>
            </c:numRef>
          </c:val>
          <c:smooth val="0"/>
        </c:ser>
        <c:ser>
          <c:idx val="7"/>
          <c:order val="7"/>
          <c:tx>
            <c:strRef>
              <c:f>'w Answers'!$B$197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'w Answers'!$C$189:$AI$189</c:f>
            </c:strRef>
          </c:cat>
          <c:val>
            <c:numRef>
              <c:f>'w Answers'!$C$197:$AI$197</c:f>
              <c:numCache/>
            </c:numRef>
          </c:val>
          <c:smooth val="0"/>
        </c:ser>
        <c:axId val="1929215177"/>
        <c:axId val="538246882"/>
      </c:lineChart>
      <c:catAx>
        <c:axId val="1929215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246882"/>
      </c:catAx>
      <c:valAx>
        <c:axId val="538246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215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Combined ReLU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Answers'!$B$232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Answers'!$C$229:$AI$229</c:f>
            </c:strRef>
          </c:cat>
          <c:val>
            <c:numRef>
              <c:f>'w Answers'!$C$232:$AI$232</c:f>
              <c:numCache/>
            </c:numRef>
          </c:val>
          <c:smooth val="0"/>
        </c:ser>
        <c:axId val="1496819239"/>
        <c:axId val="166512256"/>
      </c:lineChart>
      <c:catAx>
        <c:axId val="1496819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12256"/>
      </c:catAx>
      <c:valAx>
        <c:axId val="166512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819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4.png"/><Relationship Id="rId15" Type="http://schemas.openxmlformats.org/officeDocument/2006/relationships/image" Target="../media/image1.png"/><Relationship Id="rId14" Type="http://schemas.openxmlformats.org/officeDocument/2006/relationships/image" Target="../media/image5.png"/><Relationship Id="rId16" Type="http://schemas.openxmlformats.org/officeDocument/2006/relationships/image" Target="../media/image8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png"/><Relationship Id="rId10" Type="http://schemas.openxmlformats.org/officeDocument/2006/relationships/image" Target="../media/image2.png"/><Relationship Id="rId13" Type="http://schemas.openxmlformats.org/officeDocument/2006/relationships/image" Target="../media/image10.png"/><Relationship Id="rId12" Type="http://schemas.openxmlformats.org/officeDocument/2006/relationships/image" Target="../media/image6.png"/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9" Type="http://schemas.openxmlformats.org/officeDocument/2006/relationships/image" Target="../media/image4.png"/><Relationship Id="rId15" Type="http://schemas.openxmlformats.org/officeDocument/2006/relationships/image" Target="../media/image1.png"/><Relationship Id="rId14" Type="http://schemas.openxmlformats.org/officeDocument/2006/relationships/image" Target="../media/image5.png"/><Relationship Id="rId16" Type="http://schemas.openxmlformats.org/officeDocument/2006/relationships/image" Target="../media/image8.png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12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57150</xdr:colOff>
      <xdr:row>96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9525</xdr:colOff>
      <xdr:row>198</xdr:row>
      <xdr:rowOff>0</xdr:rowOff>
    </xdr:from>
    <xdr:ext cx="7334250" cy="5562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57150</xdr:colOff>
      <xdr:row>233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0" name="image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0" name="image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12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97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127</xdr:row>
      <xdr:rowOff>104775</xdr:rowOff>
    </xdr:from>
    <xdr:ext cx="5715000" cy="40481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161925</xdr:colOff>
      <xdr:row>159</xdr:row>
      <xdr:rowOff>57150</xdr:rowOff>
    </xdr:from>
    <xdr:ext cx="6172200" cy="42291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285750</xdr:colOff>
      <xdr:row>197</xdr:row>
      <xdr:rowOff>142875</xdr:rowOff>
    </xdr:from>
    <xdr:ext cx="7105650" cy="53721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0</xdr:colOff>
      <xdr:row>233</xdr:row>
      <xdr:rowOff>95250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285750</xdr:colOff>
      <xdr:row>74</xdr:row>
      <xdr:rowOff>190500</xdr:rowOff>
    </xdr:from>
    <xdr:ext cx="3505200" cy="22383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200025</xdr:colOff>
      <xdr:row>75</xdr:row>
      <xdr:rowOff>104775</xdr:rowOff>
    </xdr:from>
    <xdr:ext cx="3267075" cy="21240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</xdr:row>
      <xdr:rowOff>38100</xdr:rowOff>
    </xdr:from>
    <xdr:ext cx="2305050" cy="56197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88</xdr:row>
      <xdr:rowOff>85725</xdr:rowOff>
    </xdr:from>
    <xdr:ext cx="3105150" cy="514350"/>
    <xdr:pic>
      <xdr:nvPicPr>
        <xdr:cNvPr id="0" name="image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117</xdr:row>
      <xdr:rowOff>95250</xdr:rowOff>
    </xdr:from>
    <xdr:ext cx="2895600" cy="638175"/>
    <xdr:pic>
      <xdr:nvPicPr>
        <xdr:cNvPr id="0" name="image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150</xdr:row>
      <xdr:rowOff>38100</xdr:rowOff>
    </xdr:from>
    <xdr:ext cx="4543425" cy="75247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183</xdr:row>
      <xdr:rowOff>152400</xdr:rowOff>
    </xdr:from>
    <xdr:ext cx="1914525" cy="68580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183</xdr:row>
      <xdr:rowOff>19050</xdr:rowOff>
    </xdr:from>
    <xdr:ext cx="2200275" cy="75247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183</xdr:row>
      <xdr:rowOff>180975</xdr:rowOff>
    </xdr:from>
    <xdr:ext cx="2200275" cy="638175"/>
    <xdr:pic>
      <xdr:nvPicPr>
        <xdr:cNvPr id="0" name="image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184</xdr:row>
      <xdr:rowOff>114300</xdr:rowOff>
    </xdr:from>
    <xdr:ext cx="2943225" cy="361950"/>
    <xdr:pic>
      <xdr:nvPicPr>
        <xdr:cNvPr id="0" name="image8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5.38"/>
  </cols>
  <sheetData>
    <row r="1">
      <c r="A1" s="1" t="s">
        <v>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B3" s="2" t="s">
        <v>1</v>
      </c>
      <c r="C3" s="3">
        <v>5.0</v>
      </c>
    </row>
    <row r="4">
      <c r="B4" s="4" t="s">
        <v>2</v>
      </c>
      <c r="C4" s="5" t="s">
        <v>3</v>
      </c>
    </row>
    <row r="6">
      <c r="A6" s="1" t="s">
        <v>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>
      <c r="B8" s="2" t="s">
        <v>1</v>
      </c>
      <c r="C8" s="6">
        <f t="array" ref="C8:V8">SEQUENCE(1, 20, -5, 0.5)</f>
        <v>-5</v>
      </c>
      <c r="D8" s="7">
        <v>-4.5</v>
      </c>
      <c r="E8" s="7">
        <v>-4.0</v>
      </c>
      <c r="F8" s="7">
        <v>-3.5</v>
      </c>
      <c r="G8" s="7">
        <v>-3.0</v>
      </c>
      <c r="H8" s="7">
        <v>-2.5</v>
      </c>
      <c r="I8" s="7">
        <v>-2.0</v>
      </c>
      <c r="J8" s="7">
        <v>-1.5</v>
      </c>
      <c r="K8" s="7">
        <v>-1.0</v>
      </c>
      <c r="L8" s="7">
        <v>-0.5</v>
      </c>
      <c r="M8" s="7">
        <v>0.0</v>
      </c>
      <c r="N8" s="7">
        <v>0.5</v>
      </c>
      <c r="O8" s="7">
        <v>1.0</v>
      </c>
      <c r="P8" s="7">
        <v>1.5</v>
      </c>
      <c r="Q8" s="7">
        <v>2.0</v>
      </c>
      <c r="R8" s="7">
        <v>2.5</v>
      </c>
      <c r="S8" s="7">
        <v>3.0</v>
      </c>
      <c r="T8" s="7">
        <v>3.5</v>
      </c>
      <c r="U8" s="7">
        <v>4.0</v>
      </c>
      <c r="V8" s="7">
        <v>4.5</v>
      </c>
    </row>
    <row r="9">
      <c r="B9" s="4" t="s">
        <v>2</v>
      </c>
      <c r="C9" s="5" t="s"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1">
      <c r="A11" s="1" t="s">
        <v>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>
      <c r="A32" s="1" t="s">
        <v>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>
      <c r="B34" s="9" t="s">
        <v>1</v>
      </c>
      <c r="C34" s="10">
        <f t="array" ref="C34:V34">SEQUENCE(1, 20, -5, 0.5)</f>
        <v>-5</v>
      </c>
      <c r="D34" s="11">
        <v>-4.5</v>
      </c>
      <c r="E34" s="11">
        <v>-4.0</v>
      </c>
      <c r="F34" s="11">
        <v>-3.5</v>
      </c>
      <c r="G34" s="11">
        <v>-3.0</v>
      </c>
      <c r="H34" s="11">
        <v>-2.5</v>
      </c>
      <c r="I34" s="11">
        <v>-2.0</v>
      </c>
      <c r="J34" s="11">
        <v>-1.5</v>
      </c>
      <c r="K34" s="11">
        <v>-1.0</v>
      </c>
      <c r="L34" s="11">
        <v>-0.5</v>
      </c>
      <c r="M34" s="11">
        <v>0.0</v>
      </c>
      <c r="N34" s="11">
        <v>0.5</v>
      </c>
      <c r="O34" s="11">
        <v>1.0</v>
      </c>
      <c r="P34" s="11">
        <v>1.5</v>
      </c>
      <c r="Q34" s="11">
        <v>2.0</v>
      </c>
      <c r="R34" s="11">
        <v>2.5</v>
      </c>
      <c r="S34" s="11">
        <v>3.0</v>
      </c>
      <c r="T34" s="11">
        <v>3.5</v>
      </c>
      <c r="U34" s="11">
        <v>4.0</v>
      </c>
      <c r="V34" s="11">
        <v>4.5</v>
      </c>
    </row>
    <row r="35">
      <c r="B35" s="4"/>
      <c r="C35" s="12">
        <f t="array" ref="C35:C53">SEQUENCE(19, 1, -4.5, 0.5)</f>
        <v>-4.5</v>
      </c>
      <c r="D35" s="8">
        <f t="shared" ref="D35:V35" si="1">D$34+$C35</f>
        <v>-9</v>
      </c>
      <c r="E35" s="8">
        <f t="shared" si="1"/>
        <v>-8.5</v>
      </c>
      <c r="F35" s="8">
        <f t="shared" si="1"/>
        <v>-8</v>
      </c>
      <c r="G35" s="8">
        <f t="shared" si="1"/>
        <v>-7.5</v>
      </c>
      <c r="H35" s="8">
        <f t="shared" si="1"/>
        <v>-7</v>
      </c>
      <c r="I35" s="8">
        <f t="shared" si="1"/>
        <v>-6.5</v>
      </c>
      <c r="J35" s="8">
        <f t="shared" si="1"/>
        <v>-6</v>
      </c>
      <c r="K35" s="8">
        <f t="shared" si="1"/>
        <v>-5.5</v>
      </c>
      <c r="L35" s="8">
        <f t="shared" si="1"/>
        <v>-5</v>
      </c>
      <c r="M35" s="8">
        <f t="shared" si="1"/>
        <v>-4.5</v>
      </c>
      <c r="N35" s="8">
        <f t="shared" si="1"/>
        <v>-4</v>
      </c>
      <c r="O35" s="8">
        <f t="shared" si="1"/>
        <v>-3.5</v>
      </c>
      <c r="P35" s="8">
        <f t="shared" si="1"/>
        <v>-3</v>
      </c>
      <c r="Q35" s="8">
        <f t="shared" si="1"/>
        <v>-2.5</v>
      </c>
      <c r="R35" s="8">
        <f t="shared" si="1"/>
        <v>-2</v>
      </c>
      <c r="S35" s="8">
        <f t="shared" si="1"/>
        <v>-1.5</v>
      </c>
      <c r="T35" s="8">
        <f t="shared" si="1"/>
        <v>-1</v>
      </c>
      <c r="U35" s="8">
        <f t="shared" si="1"/>
        <v>-0.5</v>
      </c>
      <c r="V35" s="8">
        <f t="shared" si="1"/>
        <v>0</v>
      </c>
    </row>
    <row r="36">
      <c r="C36" s="12">
        <v>-4.0</v>
      </c>
      <c r="D36" s="8">
        <f t="shared" ref="D36:V36" si="2">D$34+$C36</f>
        <v>-8.5</v>
      </c>
      <c r="E36" s="8">
        <f t="shared" si="2"/>
        <v>-8</v>
      </c>
      <c r="F36" s="8">
        <f t="shared" si="2"/>
        <v>-7.5</v>
      </c>
      <c r="G36" s="8">
        <f t="shared" si="2"/>
        <v>-7</v>
      </c>
      <c r="H36" s="8">
        <f t="shared" si="2"/>
        <v>-6.5</v>
      </c>
      <c r="I36" s="8">
        <f t="shared" si="2"/>
        <v>-6</v>
      </c>
      <c r="J36" s="8">
        <f t="shared" si="2"/>
        <v>-5.5</v>
      </c>
      <c r="K36" s="8">
        <f t="shared" si="2"/>
        <v>-5</v>
      </c>
      <c r="L36" s="8">
        <f t="shared" si="2"/>
        <v>-4.5</v>
      </c>
      <c r="M36" s="8">
        <f t="shared" si="2"/>
        <v>-4</v>
      </c>
      <c r="N36" s="8">
        <f t="shared" si="2"/>
        <v>-3.5</v>
      </c>
      <c r="O36" s="8">
        <f t="shared" si="2"/>
        <v>-3</v>
      </c>
      <c r="P36" s="8">
        <f t="shared" si="2"/>
        <v>-2.5</v>
      </c>
      <c r="Q36" s="8">
        <f t="shared" si="2"/>
        <v>-2</v>
      </c>
      <c r="R36" s="8">
        <f t="shared" si="2"/>
        <v>-1.5</v>
      </c>
      <c r="S36" s="8">
        <f t="shared" si="2"/>
        <v>-1</v>
      </c>
      <c r="T36" s="8">
        <f t="shared" si="2"/>
        <v>-0.5</v>
      </c>
      <c r="U36" s="8">
        <f t="shared" si="2"/>
        <v>0</v>
      </c>
      <c r="V36" s="8">
        <f t="shared" si="2"/>
        <v>0.5</v>
      </c>
    </row>
    <row r="37">
      <c r="C37" s="12">
        <v>-3.5</v>
      </c>
      <c r="D37" s="8">
        <f t="shared" ref="D37:V37" si="3">D$34+$C37</f>
        <v>-8</v>
      </c>
      <c r="E37" s="8">
        <f t="shared" si="3"/>
        <v>-7.5</v>
      </c>
      <c r="F37" s="8">
        <f t="shared" si="3"/>
        <v>-7</v>
      </c>
      <c r="G37" s="8">
        <f t="shared" si="3"/>
        <v>-6.5</v>
      </c>
      <c r="H37" s="8">
        <f t="shared" si="3"/>
        <v>-6</v>
      </c>
      <c r="I37" s="8">
        <f t="shared" si="3"/>
        <v>-5.5</v>
      </c>
      <c r="J37" s="8">
        <f t="shared" si="3"/>
        <v>-5</v>
      </c>
      <c r="K37" s="8">
        <f t="shared" si="3"/>
        <v>-4.5</v>
      </c>
      <c r="L37" s="8">
        <f t="shared" si="3"/>
        <v>-4</v>
      </c>
      <c r="M37" s="8">
        <f t="shared" si="3"/>
        <v>-3.5</v>
      </c>
      <c r="N37" s="8">
        <f t="shared" si="3"/>
        <v>-3</v>
      </c>
      <c r="O37" s="8">
        <f t="shared" si="3"/>
        <v>-2.5</v>
      </c>
      <c r="P37" s="8">
        <f t="shared" si="3"/>
        <v>-2</v>
      </c>
      <c r="Q37" s="8">
        <f t="shared" si="3"/>
        <v>-1.5</v>
      </c>
      <c r="R37" s="8">
        <f t="shared" si="3"/>
        <v>-1</v>
      </c>
      <c r="S37" s="8">
        <f t="shared" si="3"/>
        <v>-0.5</v>
      </c>
      <c r="T37" s="8">
        <f t="shared" si="3"/>
        <v>0</v>
      </c>
      <c r="U37" s="8">
        <f t="shared" si="3"/>
        <v>0.5</v>
      </c>
      <c r="V37" s="8">
        <f t="shared" si="3"/>
        <v>1</v>
      </c>
    </row>
    <row r="38">
      <c r="C38" s="12">
        <v>-3.0</v>
      </c>
      <c r="D38" s="8">
        <f t="shared" ref="D38:V38" si="4">D$34+$C38</f>
        <v>-7.5</v>
      </c>
      <c r="E38" s="8">
        <f t="shared" si="4"/>
        <v>-7</v>
      </c>
      <c r="F38" s="8">
        <f t="shared" si="4"/>
        <v>-6.5</v>
      </c>
      <c r="G38" s="8">
        <f t="shared" si="4"/>
        <v>-6</v>
      </c>
      <c r="H38" s="8">
        <f t="shared" si="4"/>
        <v>-5.5</v>
      </c>
      <c r="I38" s="8">
        <f t="shared" si="4"/>
        <v>-5</v>
      </c>
      <c r="J38" s="8">
        <f t="shared" si="4"/>
        <v>-4.5</v>
      </c>
      <c r="K38" s="8">
        <f t="shared" si="4"/>
        <v>-4</v>
      </c>
      <c r="L38" s="8">
        <f t="shared" si="4"/>
        <v>-3.5</v>
      </c>
      <c r="M38" s="8">
        <f t="shared" si="4"/>
        <v>-3</v>
      </c>
      <c r="N38" s="8">
        <f t="shared" si="4"/>
        <v>-2.5</v>
      </c>
      <c r="O38" s="8">
        <f t="shared" si="4"/>
        <v>-2</v>
      </c>
      <c r="P38" s="8">
        <f t="shared" si="4"/>
        <v>-1.5</v>
      </c>
      <c r="Q38" s="8">
        <f t="shared" si="4"/>
        <v>-1</v>
      </c>
      <c r="R38" s="8">
        <f t="shared" si="4"/>
        <v>-0.5</v>
      </c>
      <c r="S38" s="8">
        <f t="shared" si="4"/>
        <v>0</v>
      </c>
      <c r="T38" s="8">
        <f t="shared" si="4"/>
        <v>0.5</v>
      </c>
      <c r="U38" s="8">
        <f t="shared" si="4"/>
        <v>1</v>
      </c>
      <c r="V38" s="8">
        <f t="shared" si="4"/>
        <v>1.5</v>
      </c>
    </row>
    <row r="39">
      <c r="C39" s="12">
        <v>-2.5</v>
      </c>
      <c r="D39" s="8">
        <f t="shared" ref="D39:V39" si="5">D$34+$C39</f>
        <v>-7</v>
      </c>
      <c r="E39" s="8">
        <f t="shared" si="5"/>
        <v>-6.5</v>
      </c>
      <c r="F39" s="8">
        <f t="shared" si="5"/>
        <v>-6</v>
      </c>
      <c r="G39" s="8">
        <f t="shared" si="5"/>
        <v>-5.5</v>
      </c>
      <c r="H39" s="8">
        <f t="shared" si="5"/>
        <v>-5</v>
      </c>
      <c r="I39" s="8">
        <f t="shared" si="5"/>
        <v>-4.5</v>
      </c>
      <c r="J39" s="8">
        <f t="shared" si="5"/>
        <v>-4</v>
      </c>
      <c r="K39" s="8">
        <f t="shared" si="5"/>
        <v>-3.5</v>
      </c>
      <c r="L39" s="8">
        <f t="shared" si="5"/>
        <v>-3</v>
      </c>
      <c r="M39" s="8">
        <f t="shared" si="5"/>
        <v>-2.5</v>
      </c>
      <c r="N39" s="8">
        <f t="shared" si="5"/>
        <v>-2</v>
      </c>
      <c r="O39" s="8">
        <f t="shared" si="5"/>
        <v>-1.5</v>
      </c>
      <c r="P39" s="8">
        <f t="shared" si="5"/>
        <v>-1</v>
      </c>
      <c r="Q39" s="8">
        <f t="shared" si="5"/>
        <v>-0.5</v>
      </c>
      <c r="R39" s="8">
        <f t="shared" si="5"/>
        <v>0</v>
      </c>
      <c r="S39" s="8">
        <f t="shared" si="5"/>
        <v>0.5</v>
      </c>
      <c r="T39" s="8">
        <f t="shared" si="5"/>
        <v>1</v>
      </c>
      <c r="U39" s="8">
        <f t="shared" si="5"/>
        <v>1.5</v>
      </c>
      <c r="V39" s="8">
        <f t="shared" si="5"/>
        <v>2</v>
      </c>
    </row>
    <row r="40">
      <c r="C40" s="12">
        <v>-2.0</v>
      </c>
      <c r="D40" s="8">
        <f t="shared" ref="D40:V40" si="6">D$34+$C40</f>
        <v>-6.5</v>
      </c>
      <c r="E40" s="8">
        <f t="shared" si="6"/>
        <v>-6</v>
      </c>
      <c r="F40" s="8">
        <f t="shared" si="6"/>
        <v>-5.5</v>
      </c>
      <c r="G40" s="8">
        <f t="shared" si="6"/>
        <v>-5</v>
      </c>
      <c r="H40" s="8">
        <f t="shared" si="6"/>
        <v>-4.5</v>
      </c>
      <c r="I40" s="8">
        <f t="shared" si="6"/>
        <v>-4</v>
      </c>
      <c r="J40" s="8">
        <f t="shared" si="6"/>
        <v>-3.5</v>
      </c>
      <c r="K40" s="8">
        <f t="shared" si="6"/>
        <v>-3</v>
      </c>
      <c r="L40" s="8">
        <f t="shared" si="6"/>
        <v>-2.5</v>
      </c>
      <c r="M40" s="8">
        <f t="shared" si="6"/>
        <v>-2</v>
      </c>
      <c r="N40" s="8">
        <f t="shared" si="6"/>
        <v>-1.5</v>
      </c>
      <c r="O40" s="8">
        <f t="shared" si="6"/>
        <v>-1</v>
      </c>
      <c r="P40" s="8">
        <f t="shared" si="6"/>
        <v>-0.5</v>
      </c>
      <c r="Q40" s="8">
        <f t="shared" si="6"/>
        <v>0</v>
      </c>
      <c r="R40" s="8">
        <f t="shared" si="6"/>
        <v>0.5</v>
      </c>
      <c r="S40" s="8">
        <f t="shared" si="6"/>
        <v>1</v>
      </c>
      <c r="T40" s="8">
        <f t="shared" si="6"/>
        <v>1.5</v>
      </c>
      <c r="U40" s="8">
        <f t="shared" si="6"/>
        <v>2</v>
      </c>
      <c r="V40" s="8">
        <f t="shared" si="6"/>
        <v>2.5</v>
      </c>
    </row>
    <row r="41">
      <c r="C41" s="12">
        <v>-1.5</v>
      </c>
      <c r="D41" s="8">
        <f t="shared" ref="D41:V41" si="7">D$34+$C41</f>
        <v>-6</v>
      </c>
      <c r="E41" s="8">
        <f t="shared" si="7"/>
        <v>-5.5</v>
      </c>
      <c r="F41" s="8">
        <f t="shared" si="7"/>
        <v>-5</v>
      </c>
      <c r="G41" s="8">
        <f t="shared" si="7"/>
        <v>-4.5</v>
      </c>
      <c r="H41" s="8">
        <f t="shared" si="7"/>
        <v>-4</v>
      </c>
      <c r="I41" s="8">
        <f t="shared" si="7"/>
        <v>-3.5</v>
      </c>
      <c r="J41" s="8">
        <f t="shared" si="7"/>
        <v>-3</v>
      </c>
      <c r="K41" s="8">
        <f t="shared" si="7"/>
        <v>-2.5</v>
      </c>
      <c r="L41" s="8">
        <f t="shared" si="7"/>
        <v>-2</v>
      </c>
      <c r="M41" s="8">
        <f t="shared" si="7"/>
        <v>-1.5</v>
      </c>
      <c r="N41" s="8">
        <f t="shared" si="7"/>
        <v>-1</v>
      </c>
      <c r="O41" s="8">
        <f t="shared" si="7"/>
        <v>-0.5</v>
      </c>
      <c r="P41" s="8">
        <f t="shared" si="7"/>
        <v>0</v>
      </c>
      <c r="Q41" s="8">
        <f t="shared" si="7"/>
        <v>0.5</v>
      </c>
      <c r="R41" s="8">
        <f t="shared" si="7"/>
        <v>1</v>
      </c>
      <c r="S41" s="8">
        <f t="shared" si="7"/>
        <v>1.5</v>
      </c>
      <c r="T41" s="8">
        <f t="shared" si="7"/>
        <v>2</v>
      </c>
      <c r="U41" s="8">
        <f t="shared" si="7"/>
        <v>2.5</v>
      </c>
      <c r="V41" s="8">
        <f t="shared" si="7"/>
        <v>3</v>
      </c>
    </row>
    <row r="42">
      <c r="C42" s="12">
        <v>-1.0</v>
      </c>
      <c r="D42" s="8">
        <f t="shared" ref="D42:V42" si="8">D$34+$C42</f>
        <v>-5.5</v>
      </c>
      <c r="E42" s="8">
        <f t="shared" si="8"/>
        <v>-5</v>
      </c>
      <c r="F42" s="8">
        <f t="shared" si="8"/>
        <v>-4.5</v>
      </c>
      <c r="G42" s="8">
        <f t="shared" si="8"/>
        <v>-4</v>
      </c>
      <c r="H42" s="8">
        <f t="shared" si="8"/>
        <v>-3.5</v>
      </c>
      <c r="I42" s="8">
        <f t="shared" si="8"/>
        <v>-3</v>
      </c>
      <c r="J42" s="8">
        <f t="shared" si="8"/>
        <v>-2.5</v>
      </c>
      <c r="K42" s="8">
        <f t="shared" si="8"/>
        <v>-2</v>
      </c>
      <c r="L42" s="8">
        <f t="shared" si="8"/>
        <v>-1.5</v>
      </c>
      <c r="M42" s="8">
        <f t="shared" si="8"/>
        <v>-1</v>
      </c>
      <c r="N42" s="8">
        <f t="shared" si="8"/>
        <v>-0.5</v>
      </c>
      <c r="O42" s="8">
        <f t="shared" si="8"/>
        <v>0</v>
      </c>
      <c r="P42" s="8">
        <f t="shared" si="8"/>
        <v>0.5</v>
      </c>
      <c r="Q42" s="8">
        <f t="shared" si="8"/>
        <v>1</v>
      </c>
      <c r="R42" s="8">
        <f t="shared" si="8"/>
        <v>1.5</v>
      </c>
      <c r="S42" s="8">
        <f t="shared" si="8"/>
        <v>2</v>
      </c>
      <c r="T42" s="8">
        <f t="shared" si="8"/>
        <v>2.5</v>
      </c>
      <c r="U42" s="8">
        <f t="shared" si="8"/>
        <v>3</v>
      </c>
      <c r="V42" s="8">
        <f t="shared" si="8"/>
        <v>3.5</v>
      </c>
    </row>
    <row r="43">
      <c r="C43" s="12">
        <v>-0.5</v>
      </c>
      <c r="D43" s="8">
        <f t="shared" ref="D43:V43" si="9">D$34+$C43</f>
        <v>-5</v>
      </c>
      <c r="E43" s="8">
        <f t="shared" si="9"/>
        <v>-4.5</v>
      </c>
      <c r="F43" s="8">
        <f t="shared" si="9"/>
        <v>-4</v>
      </c>
      <c r="G43" s="8">
        <f t="shared" si="9"/>
        <v>-3.5</v>
      </c>
      <c r="H43" s="8">
        <f t="shared" si="9"/>
        <v>-3</v>
      </c>
      <c r="I43" s="8">
        <f t="shared" si="9"/>
        <v>-2.5</v>
      </c>
      <c r="J43" s="8">
        <f t="shared" si="9"/>
        <v>-2</v>
      </c>
      <c r="K43" s="8">
        <f t="shared" si="9"/>
        <v>-1.5</v>
      </c>
      <c r="L43" s="8">
        <f t="shared" si="9"/>
        <v>-1</v>
      </c>
      <c r="M43" s="8">
        <f t="shared" si="9"/>
        <v>-0.5</v>
      </c>
      <c r="N43" s="8">
        <f t="shared" si="9"/>
        <v>0</v>
      </c>
      <c r="O43" s="8">
        <f t="shared" si="9"/>
        <v>0.5</v>
      </c>
      <c r="P43" s="8">
        <f t="shared" si="9"/>
        <v>1</v>
      </c>
      <c r="Q43" s="8">
        <f t="shared" si="9"/>
        <v>1.5</v>
      </c>
      <c r="R43" s="8">
        <f t="shared" si="9"/>
        <v>2</v>
      </c>
      <c r="S43" s="8">
        <f t="shared" si="9"/>
        <v>2.5</v>
      </c>
      <c r="T43" s="8">
        <f t="shared" si="9"/>
        <v>3</v>
      </c>
      <c r="U43" s="8">
        <f t="shared" si="9"/>
        <v>3.5</v>
      </c>
      <c r="V43" s="8">
        <f t="shared" si="9"/>
        <v>4</v>
      </c>
    </row>
    <row r="44">
      <c r="C44" s="12">
        <v>0.0</v>
      </c>
      <c r="D44" s="8">
        <f t="shared" ref="D44:V44" si="10">D$34+$C44</f>
        <v>-4.5</v>
      </c>
      <c r="E44" s="8">
        <f t="shared" si="10"/>
        <v>-4</v>
      </c>
      <c r="F44" s="8">
        <f t="shared" si="10"/>
        <v>-3.5</v>
      </c>
      <c r="G44" s="8">
        <f t="shared" si="10"/>
        <v>-3</v>
      </c>
      <c r="H44" s="8">
        <f t="shared" si="10"/>
        <v>-2.5</v>
      </c>
      <c r="I44" s="8">
        <f t="shared" si="10"/>
        <v>-2</v>
      </c>
      <c r="J44" s="8">
        <f t="shared" si="10"/>
        <v>-1.5</v>
      </c>
      <c r="K44" s="8">
        <f t="shared" si="10"/>
        <v>-1</v>
      </c>
      <c r="L44" s="8">
        <f t="shared" si="10"/>
        <v>-0.5</v>
      </c>
      <c r="M44" s="8">
        <f t="shared" si="10"/>
        <v>0</v>
      </c>
      <c r="N44" s="8">
        <f t="shared" si="10"/>
        <v>0.5</v>
      </c>
      <c r="O44" s="8">
        <f t="shared" si="10"/>
        <v>1</v>
      </c>
      <c r="P44" s="8">
        <f t="shared" si="10"/>
        <v>1.5</v>
      </c>
      <c r="Q44" s="8">
        <f t="shared" si="10"/>
        <v>2</v>
      </c>
      <c r="R44" s="8">
        <f t="shared" si="10"/>
        <v>2.5</v>
      </c>
      <c r="S44" s="8">
        <f t="shared" si="10"/>
        <v>3</v>
      </c>
      <c r="T44" s="8">
        <f t="shared" si="10"/>
        <v>3.5</v>
      </c>
      <c r="U44" s="8">
        <f t="shared" si="10"/>
        <v>4</v>
      </c>
      <c r="V44" s="8">
        <f t="shared" si="10"/>
        <v>4.5</v>
      </c>
    </row>
    <row r="45">
      <c r="C45" s="12">
        <v>0.5</v>
      </c>
      <c r="D45" s="8">
        <f t="shared" ref="D45:V45" si="11">D$34+$C45</f>
        <v>-4</v>
      </c>
      <c r="E45" s="8">
        <f t="shared" si="11"/>
        <v>-3.5</v>
      </c>
      <c r="F45" s="8">
        <f t="shared" si="11"/>
        <v>-3</v>
      </c>
      <c r="G45" s="8">
        <f t="shared" si="11"/>
        <v>-2.5</v>
      </c>
      <c r="H45" s="8">
        <f t="shared" si="11"/>
        <v>-2</v>
      </c>
      <c r="I45" s="8">
        <f t="shared" si="11"/>
        <v>-1.5</v>
      </c>
      <c r="J45" s="8">
        <f t="shared" si="11"/>
        <v>-1</v>
      </c>
      <c r="K45" s="8">
        <f t="shared" si="11"/>
        <v>-0.5</v>
      </c>
      <c r="L45" s="8">
        <f t="shared" si="11"/>
        <v>0</v>
      </c>
      <c r="M45" s="8">
        <f t="shared" si="11"/>
        <v>0.5</v>
      </c>
      <c r="N45" s="8">
        <f t="shared" si="11"/>
        <v>1</v>
      </c>
      <c r="O45" s="8">
        <f t="shared" si="11"/>
        <v>1.5</v>
      </c>
      <c r="P45" s="8">
        <f t="shared" si="11"/>
        <v>2</v>
      </c>
      <c r="Q45" s="8">
        <f t="shared" si="11"/>
        <v>2.5</v>
      </c>
      <c r="R45" s="8">
        <f t="shared" si="11"/>
        <v>3</v>
      </c>
      <c r="S45" s="8">
        <f t="shared" si="11"/>
        <v>3.5</v>
      </c>
      <c r="T45" s="8">
        <f t="shared" si="11"/>
        <v>4</v>
      </c>
      <c r="U45" s="8">
        <f t="shared" si="11"/>
        <v>4.5</v>
      </c>
      <c r="V45" s="8">
        <f t="shared" si="11"/>
        <v>5</v>
      </c>
    </row>
    <row r="46">
      <c r="C46" s="12">
        <v>1.0</v>
      </c>
      <c r="D46" s="8">
        <f t="shared" ref="D46:V46" si="12">D$34+$C46</f>
        <v>-3.5</v>
      </c>
      <c r="E46" s="8">
        <f t="shared" si="12"/>
        <v>-3</v>
      </c>
      <c r="F46" s="8">
        <f t="shared" si="12"/>
        <v>-2.5</v>
      </c>
      <c r="G46" s="8">
        <f t="shared" si="12"/>
        <v>-2</v>
      </c>
      <c r="H46" s="8">
        <f t="shared" si="12"/>
        <v>-1.5</v>
      </c>
      <c r="I46" s="8">
        <f t="shared" si="12"/>
        <v>-1</v>
      </c>
      <c r="J46" s="8">
        <f t="shared" si="12"/>
        <v>-0.5</v>
      </c>
      <c r="K46" s="8">
        <f t="shared" si="12"/>
        <v>0</v>
      </c>
      <c r="L46" s="8">
        <f t="shared" si="12"/>
        <v>0.5</v>
      </c>
      <c r="M46" s="8">
        <f t="shared" si="12"/>
        <v>1</v>
      </c>
      <c r="N46" s="8">
        <f t="shared" si="12"/>
        <v>1.5</v>
      </c>
      <c r="O46" s="8">
        <f t="shared" si="12"/>
        <v>2</v>
      </c>
      <c r="P46" s="8">
        <f t="shared" si="12"/>
        <v>2.5</v>
      </c>
      <c r="Q46" s="8">
        <f t="shared" si="12"/>
        <v>3</v>
      </c>
      <c r="R46" s="8">
        <f t="shared" si="12"/>
        <v>3.5</v>
      </c>
      <c r="S46" s="8">
        <f t="shared" si="12"/>
        <v>4</v>
      </c>
      <c r="T46" s="8">
        <f t="shared" si="12"/>
        <v>4.5</v>
      </c>
      <c r="U46" s="8">
        <f t="shared" si="12"/>
        <v>5</v>
      </c>
      <c r="V46" s="8">
        <f t="shared" si="12"/>
        <v>5.5</v>
      </c>
    </row>
    <row r="47">
      <c r="C47" s="12">
        <v>1.5</v>
      </c>
      <c r="D47" s="8">
        <f t="shared" ref="D47:V47" si="13">D$34+$C47</f>
        <v>-3</v>
      </c>
      <c r="E47" s="8">
        <f t="shared" si="13"/>
        <v>-2.5</v>
      </c>
      <c r="F47" s="8">
        <f t="shared" si="13"/>
        <v>-2</v>
      </c>
      <c r="G47" s="8">
        <f t="shared" si="13"/>
        <v>-1.5</v>
      </c>
      <c r="H47" s="8">
        <f t="shared" si="13"/>
        <v>-1</v>
      </c>
      <c r="I47" s="8">
        <f t="shared" si="13"/>
        <v>-0.5</v>
      </c>
      <c r="J47" s="8">
        <f t="shared" si="13"/>
        <v>0</v>
      </c>
      <c r="K47" s="8">
        <f t="shared" si="13"/>
        <v>0.5</v>
      </c>
      <c r="L47" s="8">
        <f t="shared" si="13"/>
        <v>1</v>
      </c>
      <c r="M47" s="8">
        <f t="shared" si="13"/>
        <v>1.5</v>
      </c>
      <c r="N47" s="8">
        <f t="shared" si="13"/>
        <v>2</v>
      </c>
      <c r="O47" s="8">
        <f t="shared" si="13"/>
        <v>2.5</v>
      </c>
      <c r="P47" s="8">
        <f t="shared" si="13"/>
        <v>3</v>
      </c>
      <c r="Q47" s="8">
        <f t="shared" si="13"/>
        <v>3.5</v>
      </c>
      <c r="R47" s="8">
        <f t="shared" si="13"/>
        <v>4</v>
      </c>
      <c r="S47" s="8">
        <f t="shared" si="13"/>
        <v>4.5</v>
      </c>
      <c r="T47" s="8">
        <f t="shared" si="13"/>
        <v>5</v>
      </c>
      <c r="U47" s="8">
        <f t="shared" si="13"/>
        <v>5.5</v>
      </c>
      <c r="V47" s="8">
        <f t="shared" si="13"/>
        <v>6</v>
      </c>
    </row>
    <row r="48">
      <c r="C48" s="12">
        <v>2.0</v>
      </c>
      <c r="D48" s="8">
        <f t="shared" ref="D48:V48" si="14">D$34+$C48</f>
        <v>-2.5</v>
      </c>
      <c r="E48" s="8">
        <f t="shared" si="14"/>
        <v>-2</v>
      </c>
      <c r="F48" s="8">
        <f t="shared" si="14"/>
        <v>-1.5</v>
      </c>
      <c r="G48" s="8">
        <f t="shared" si="14"/>
        <v>-1</v>
      </c>
      <c r="H48" s="8">
        <f t="shared" si="14"/>
        <v>-0.5</v>
      </c>
      <c r="I48" s="8">
        <f t="shared" si="14"/>
        <v>0</v>
      </c>
      <c r="J48" s="8">
        <f t="shared" si="14"/>
        <v>0.5</v>
      </c>
      <c r="K48" s="8">
        <f t="shared" si="14"/>
        <v>1</v>
      </c>
      <c r="L48" s="8">
        <f t="shared" si="14"/>
        <v>1.5</v>
      </c>
      <c r="M48" s="8">
        <f t="shared" si="14"/>
        <v>2</v>
      </c>
      <c r="N48" s="8">
        <f t="shared" si="14"/>
        <v>2.5</v>
      </c>
      <c r="O48" s="8">
        <f t="shared" si="14"/>
        <v>3</v>
      </c>
      <c r="P48" s="8">
        <f t="shared" si="14"/>
        <v>3.5</v>
      </c>
      <c r="Q48" s="8">
        <f t="shared" si="14"/>
        <v>4</v>
      </c>
      <c r="R48" s="8">
        <f t="shared" si="14"/>
        <v>4.5</v>
      </c>
      <c r="S48" s="8">
        <f t="shared" si="14"/>
        <v>5</v>
      </c>
      <c r="T48" s="8">
        <f t="shared" si="14"/>
        <v>5.5</v>
      </c>
      <c r="U48" s="8">
        <f t="shared" si="14"/>
        <v>6</v>
      </c>
      <c r="V48" s="8">
        <f t="shared" si="14"/>
        <v>6.5</v>
      </c>
    </row>
    <row r="49">
      <c r="C49" s="12">
        <v>2.5</v>
      </c>
      <c r="D49" s="8">
        <f t="shared" ref="D49:V49" si="15">D$34+$C49</f>
        <v>-2</v>
      </c>
      <c r="E49" s="8">
        <f t="shared" si="15"/>
        <v>-1.5</v>
      </c>
      <c r="F49" s="8">
        <f t="shared" si="15"/>
        <v>-1</v>
      </c>
      <c r="G49" s="8">
        <f t="shared" si="15"/>
        <v>-0.5</v>
      </c>
      <c r="H49" s="8">
        <f t="shared" si="15"/>
        <v>0</v>
      </c>
      <c r="I49" s="8">
        <f t="shared" si="15"/>
        <v>0.5</v>
      </c>
      <c r="J49" s="8">
        <f t="shared" si="15"/>
        <v>1</v>
      </c>
      <c r="K49" s="8">
        <f t="shared" si="15"/>
        <v>1.5</v>
      </c>
      <c r="L49" s="8">
        <f t="shared" si="15"/>
        <v>2</v>
      </c>
      <c r="M49" s="8">
        <f t="shared" si="15"/>
        <v>2.5</v>
      </c>
      <c r="N49" s="8">
        <f t="shared" si="15"/>
        <v>3</v>
      </c>
      <c r="O49" s="8">
        <f t="shared" si="15"/>
        <v>3.5</v>
      </c>
      <c r="P49" s="8">
        <f t="shared" si="15"/>
        <v>4</v>
      </c>
      <c r="Q49" s="8">
        <f t="shared" si="15"/>
        <v>4.5</v>
      </c>
      <c r="R49" s="8">
        <f t="shared" si="15"/>
        <v>5</v>
      </c>
      <c r="S49" s="8">
        <f t="shared" si="15"/>
        <v>5.5</v>
      </c>
      <c r="T49" s="8">
        <f t="shared" si="15"/>
        <v>6</v>
      </c>
      <c r="U49" s="8">
        <f t="shared" si="15"/>
        <v>6.5</v>
      </c>
      <c r="V49" s="8">
        <f t="shared" si="15"/>
        <v>7</v>
      </c>
    </row>
    <row r="50">
      <c r="C50" s="12">
        <v>3.0</v>
      </c>
      <c r="D50" s="8">
        <f t="shared" ref="D50:V50" si="16">D$34+$C50</f>
        <v>-1.5</v>
      </c>
      <c r="E50" s="8">
        <f t="shared" si="16"/>
        <v>-1</v>
      </c>
      <c r="F50" s="8">
        <f t="shared" si="16"/>
        <v>-0.5</v>
      </c>
      <c r="G50" s="8">
        <f t="shared" si="16"/>
        <v>0</v>
      </c>
      <c r="H50" s="8">
        <f t="shared" si="16"/>
        <v>0.5</v>
      </c>
      <c r="I50" s="8">
        <f t="shared" si="16"/>
        <v>1</v>
      </c>
      <c r="J50" s="8">
        <f t="shared" si="16"/>
        <v>1.5</v>
      </c>
      <c r="K50" s="8">
        <f t="shared" si="16"/>
        <v>2</v>
      </c>
      <c r="L50" s="8">
        <f t="shared" si="16"/>
        <v>2.5</v>
      </c>
      <c r="M50" s="8">
        <f t="shared" si="16"/>
        <v>3</v>
      </c>
      <c r="N50" s="8">
        <f t="shared" si="16"/>
        <v>3.5</v>
      </c>
      <c r="O50" s="8">
        <f t="shared" si="16"/>
        <v>4</v>
      </c>
      <c r="P50" s="8">
        <f t="shared" si="16"/>
        <v>4.5</v>
      </c>
      <c r="Q50" s="8">
        <f t="shared" si="16"/>
        <v>5</v>
      </c>
      <c r="R50" s="8">
        <f t="shared" si="16"/>
        <v>5.5</v>
      </c>
      <c r="S50" s="8">
        <f t="shared" si="16"/>
        <v>6</v>
      </c>
      <c r="T50" s="8">
        <f t="shared" si="16"/>
        <v>6.5</v>
      </c>
      <c r="U50" s="8">
        <f t="shared" si="16"/>
        <v>7</v>
      </c>
      <c r="V50" s="8">
        <f t="shared" si="16"/>
        <v>7.5</v>
      </c>
    </row>
    <row r="51">
      <c r="C51" s="12">
        <v>3.5</v>
      </c>
      <c r="D51" s="8">
        <f t="shared" ref="D51:V51" si="17">D$34+$C51</f>
        <v>-1</v>
      </c>
      <c r="E51" s="8">
        <f t="shared" si="17"/>
        <v>-0.5</v>
      </c>
      <c r="F51" s="8">
        <f t="shared" si="17"/>
        <v>0</v>
      </c>
      <c r="G51" s="8">
        <f t="shared" si="17"/>
        <v>0.5</v>
      </c>
      <c r="H51" s="8">
        <f t="shared" si="17"/>
        <v>1</v>
      </c>
      <c r="I51" s="8">
        <f t="shared" si="17"/>
        <v>1.5</v>
      </c>
      <c r="J51" s="8">
        <f t="shared" si="17"/>
        <v>2</v>
      </c>
      <c r="K51" s="8">
        <f t="shared" si="17"/>
        <v>2.5</v>
      </c>
      <c r="L51" s="8">
        <f t="shared" si="17"/>
        <v>3</v>
      </c>
      <c r="M51" s="8">
        <f t="shared" si="17"/>
        <v>3.5</v>
      </c>
      <c r="N51" s="8">
        <f t="shared" si="17"/>
        <v>4</v>
      </c>
      <c r="O51" s="8">
        <f t="shared" si="17"/>
        <v>4.5</v>
      </c>
      <c r="P51" s="8">
        <f t="shared" si="17"/>
        <v>5</v>
      </c>
      <c r="Q51" s="8">
        <f t="shared" si="17"/>
        <v>5.5</v>
      </c>
      <c r="R51" s="8">
        <f t="shared" si="17"/>
        <v>6</v>
      </c>
      <c r="S51" s="8">
        <f t="shared" si="17"/>
        <v>6.5</v>
      </c>
      <c r="T51" s="8">
        <f t="shared" si="17"/>
        <v>7</v>
      </c>
      <c r="U51" s="8">
        <f t="shared" si="17"/>
        <v>7.5</v>
      </c>
      <c r="V51" s="8">
        <f t="shared" si="17"/>
        <v>8</v>
      </c>
    </row>
    <row r="52">
      <c r="C52" s="12">
        <v>4.0</v>
      </c>
      <c r="D52" s="8">
        <f t="shared" ref="D52:V52" si="18">D$34+$C52</f>
        <v>-0.5</v>
      </c>
      <c r="E52" s="8">
        <f t="shared" si="18"/>
        <v>0</v>
      </c>
      <c r="F52" s="8">
        <f t="shared" si="18"/>
        <v>0.5</v>
      </c>
      <c r="G52" s="8">
        <f t="shared" si="18"/>
        <v>1</v>
      </c>
      <c r="H52" s="8">
        <f t="shared" si="18"/>
        <v>1.5</v>
      </c>
      <c r="I52" s="8">
        <f t="shared" si="18"/>
        <v>2</v>
      </c>
      <c r="J52" s="8">
        <f t="shared" si="18"/>
        <v>2.5</v>
      </c>
      <c r="K52" s="8">
        <f t="shared" si="18"/>
        <v>3</v>
      </c>
      <c r="L52" s="8">
        <f t="shared" si="18"/>
        <v>3.5</v>
      </c>
      <c r="M52" s="8">
        <f t="shared" si="18"/>
        <v>4</v>
      </c>
      <c r="N52" s="8">
        <f t="shared" si="18"/>
        <v>4.5</v>
      </c>
      <c r="O52" s="8">
        <f t="shared" si="18"/>
        <v>5</v>
      </c>
      <c r="P52" s="8">
        <f t="shared" si="18"/>
        <v>5.5</v>
      </c>
      <c r="Q52" s="8">
        <f t="shared" si="18"/>
        <v>6</v>
      </c>
      <c r="R52" s="8">
        <f t="shared" si="18"/>
        <v>6.5</v>
      </c>
      <c r="S52" s="8">
        <f t="shared" si="18"/>
        <v>7</v>
      </c>
      <c r="T52" s="8">
        <f t="shared" si="18"/>
        <v>7.5</v>
      </c>
      <c r="U52" s="8">
        <f t="shared" si="18"/>
        <v>8</v>
      </c>
      <c r="V52" s="8">
        <f t="shared" si="18"/>
        <v>8.5</v>
      </c>
    </row>
    <row r="53">
      <c r="C53" s="12">
        <v>4.5</v>
      </c>
      <c r="D53" s="8">
        <f t="shared" ref="D53:V53" si="19">D$34+$C53</f>
        <v>0</v>
      </c>
      <c r="E53" s="8">
        <f t="shared" si="19"/>
        <v>0.5</v>
      </c>
      <c r="F53" s="8">
        <f t="shared" si="19"/>
        <v>1</v>
      </c>
      <c r="G53" s="8">
        <f t="shared" si="19"/>
        <v>1.5</v>
      </c>
      <c r="H53" s="8">
        <f t="shared" si="19"/>
        <v>2</v>
      </c>
      <c r="I53" s="8">
        <f t="shared" si="19"/>
        <v>2.5</v>
      </c>
      <c r="J53" s="8">
        <f t="shared" si="19"/>
        <v>3</v>
      </c>
      <c r="K53" s="8">
        <f t="shared" si="19"/>
        <v>3.5</v>
      </c>
      <c r="L53" s="8">
        <f t="shared" si="19"/>
        <v>4</v>
      </c>
      <c r="M53" s="8">
        <f t="shared" si="19"/>
        <v>4.5</v>
      </c>
      <c r="N53" s="8">
        <f t="shared" si="19"/>
        <v>5</v>
      </c>
      <c r="O53" s="8">
        <f t="shared" si="19"/>
        <v>5.5</v>
      </c>
      <c r="P53" s="8">
        <f t="shared" si="19"/>
        <v>6</v>
      </c>
      <c r="Q53" s="8">
        <f t="shared" si="19"/>
        <v>6.5</v>
      </c>
      <c r="R53" s="8">
        <f t="shared" si="19"/>
        <v>7</v>
      </c>
      <c r="S53" s="8">
        <f t="shared" si="19"/>
        <v>7.5</v>
      </c>
      <c r="T53" s="8">
        <f t="shared" si="19"/>
        <v>8</v>
      </c>
      <c r="U53" s="8">
        <f t="shared" si="19"/>
        <v>8.5</v>
      </c>
      <c r="V53" s="8">
        <f t="shared" si="19"/>
        <v>9</v>
      </c>
    </row>
    <row r="55">
      <c r="C55" s="13">
        <f t="array" ref="C55:V55">SEQUENCE(1, 20, -5, 0.5)</f>
        <v>-5</v>
      </c>
      <c r="D55" s="14">
        <v>-4.5</v>
      </c>
      <c r="E55" s="14">
        <v>-4.0</v>
      </c>
      <c r="F55" s="14">
        <v>-3.5</v>
      </c>
      <c r="G55" s="14">
        <v>-3.0</v>
      </c>
      <c r="H55" s="14">
        <v>-2.5</v>
      </c>
      <c r="I55" s="14">
        <v>-2.0</v>
      </c>
      <c r="J55" s="14">
        <v>-1.5</v>
      </c>
      <c r="K55" s="14">
        <v>-1.0</v>
      </c>
      <c r="L55" s="14">
        <v>-0.5</v>
      </c>
      <c r="M55" s="14">
        <v>0.0</v>
      </c>
      <c r="N55" s="14">
        <v>0.5</v>
      </c>
      <c r="O55" s="14">
        <v>1.0</v>
      </c>
      <c r="P55" s="14">
        <v>1.5</v>
      </c>
      <c r="Q55" s="14">
        <v>2.0</v>
      </c>
      <c r="R55" s="14">
        <v>2.5</v>
      </c>
      <c r="S55" s="14">
        <v>3.0</v>
      </c>
      <c r="T55" s="14">
        <v>3.5</v>
      </c>
      <c r="U55" s="14">
        <v>4.0</v>
      </c>
      <c r="V55" s="14">
        <v>4.5</v>
      </c>
    </row>
    <row r="56">
      <c r="B56" s="15" t="s">
        <v>2</v>
      </c>
      <c r="C56" s="16">
        <f t="array" ref="C56:C74">SEQUENCE(19, 1, -4.5, 0.5)</f>
        <v>-4.5</v>
      </c>
      <c r="D56" s="5" t="s">
        <v>3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C57" s="17">
        <v>-4.0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C58" s="17">
        <v>-3.5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C59" s="17">
        <v>-3.0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>
      <c r="C60" s="17">
        <v>-2.5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>
      <c r="C61" s="17">
        <v>-2.0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C62" s="17">
        <v>-1.5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C63" s="17">
        <v>-1.0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C64" s="17">
        <v>-0.5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C65" s="17">
        <v>0.0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C66" s="17">
        <v>0.5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C67" s="17">
        <v>1.0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C68" s="17">
        <v>1.5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C69" s="17">
        <v>2.0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C70" s="17">
        <v>2.5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C71" s="17">
        <v>3.0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C72" s="17">
        <v>3.5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C73" s="17">
        <v>4.0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C74" s="17">
        <v>4.5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88">
      <c r="A88" s="1" t="s">
        <v>7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>
      <c r="Q91" s="18"/>
    </row>
    <row r="93">
      <c r="B93" s="2" t="s">
        <v>1</v>
      </c>
      <c r="C93" s="19">
        <f t="array" ref="C93:V93">SEQUENCE(1, 20, -5, 0.5)</f>
        <v>-5</v>
      </c>
      <c r="D93" s="20">
        <v>-4.5</v>
      </c>
      <c r="E93" s="20">
        <v>-4.0</v>
      </c>
      <c r="F93" s="20">
        <v>-3.5</v>
      </c>
      <c r="G93" s="20">
        <v>-3.0</v>
      </c>
      <c r="H93" s="20">
        <v>-2.5</v>
      </c>
      <c r="I93" s="20">
        <v>-2.0</v>
      </c>
      <c r="J93" s="20">
        <v>-1.5</v>
      </c>
      <c r="K93" s="20">
        <v>-1.0</v>
      </c>
      <c r="L93" s="20">
        <v>-0.5</v>
      </c>
      <c r="M93" s="20">
        <v>0.0</v>
      </c>
      <c r="N93" s="20">
        <v>0.5</v>
      </c>
      <c r="O93" s="20">
        <v>1.0</v>
      </c>
      <c r="P93" s="20">
        <v>1.5</v>
      </c>
      <c r="Q93" s="20">
        <v>2.0</v>
      </c>
      <c r="R93" s="20">
        <v>2.5</v>
      </c>
      <c r="S93" s="20">
        <v>3.0</v>
      </c>
      <c r="T93" s="20">
        <v>3.5</v>
      </c>
      <c r="U93" s="20">
        <v>4.0</v>
      </c>
      <c r="V93" s="20">
        <v>4.5</v>
      </c>
    </row>
    <row r="94">
      <c r="B94" s="4" t="s">
        <v>2</v>
      </c>
      <c r="C94" s="8">
        <f t="shared" ref="C94:V94" si="20">max(0, C93)</f>
        <v>0</v>
      </c>
      <c r="D94" s="8">
        <f t="shared" si="20"/>
        <v>0</v>
      </c>
      <c r="E94" s="8">
        <f t="shared" si="20"/>
        <v>0</v>
      </c>
      <c r="F94" s="8">
        <f t="shared" si="20"/>
        <v>0</v>
      </c>
      <c r="G94" s="8">
        <f t="shared" si="20"/>
        <v>0</v>
      </c>
      <c r="H94" s="8">
        <f t="shared" si="20"/>
        <v>0</v>
      </c>
      <c r="I94" s="8">
        <f t="shared" si="20"/>
        <v>0</v>
      </c>
      <c r="J94" s="8">
        <f t="shared" si="20"/>
        <v>0</v>
      </c>
      <c r="K94" s="8">
        <f t="shared" si="20"/>
        <v>0</v>
      </c>
      <c r="L94" s="8">
        <f t="shared" si="20"/>
        <v>0</v>
      </c>
      <c r="M94" s="8">
        <f t="shared" si="20"/>
        <v>0</v>
      </c>
      <c r="N94" s="8">
        <f t="shared" si="20"/>
        <v>0.5</v>
      </c>
      <c r="O94" s="8">
        <f t="shared" si="20"/>
        <v>1</v>
      </c>
      <c r="P94" s="8">
        <f t="shared" si="20"/>
        <v>1.5</v>
      </c>
      <c r="Q94" s="8">
        <f t="shared" si="20"/>
        <v>2</v>
      </c>
      <c r="R94" s="8">
        <f t="shared" si="20"/>
        <v>2.5</v>
      </c>
      <c r="S94" s="8">
        <f t="shared" si="20"/>
        <v>3</v>
      </c>
      <c r="T94" s="8">
        <f t="shared" si="20"/>
        <v>3.5</v>
      </c>
      <c r="U94" s="8">
        <f t="shared" si="20"/>
        <v>4</v>
      </c>
      <c r="V94" s="8">
        <f t="shared" si="20"/>
        <v>4.5</v>
      </c>
    </row>
    <row r="95">
      <c r="B95" s="9" t="s">
        <v>8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117">
      <c r="A117" s="1" t="s">
        <v>9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>
      <c r="B121" s="2" t="s">
        <v>10</v>
      </c>
      <c r="C121" s="3">
        <v>0.2</v>
      </c>
    </row>
    <row r="123">
      <c r="B123" s="2" t="s">
        <v>1</v>
      </c>
      <c r="C123" s="19">
        <f t="array" ref="C123:V123">SEQUENCE(1, 20, -5, 0.5)</f>
        <v>-5</v>
      </c>
      <c r="D123" s="20">
        <v>-4.5</v>
      </c>
      <c r="E123" s="20">
        <v>-4.0</v>
      </c>
      <c r="F123" s="20">
        <v>-3.5</v>
      </c>
      <c r="G123" s="20">
        <v>-3.0</v>
      </c>
      <c r="H123" s="20">
        <v>-2.5</v>
      </c>
      <c r="I123" s="20">
        <v>-2.0</v>
      </c>
      <c r="J123" s="20">
        <v>-1.5</v>
      </c>
      <c r="K123" s="20">
        <v>-1.0</v>
      </c>
      <c r="L123" s="20">
        <v>-0.5</v>
      </c>
      <c r="M123" s="20">
        <v>0.0</v>
      </c>
      <c r="N123" s="20">
        <v>0.5</v>
      </c>
      <c r="O123" s="20">
        <v>1.0</v>
      </c>
      <c r="P123" s="20">
        <v>1.5</v>
      </c>
      <c r="Q123" s="20">
        <v>2.0</v>
      </c>
      <c r="R123" s="20">
        <v>2.5</v>
      </c>
      <c r="S123" s="20">
        <v>3.0</v>
      </c>
      <c r="T123" s="20">
        <v>3.5</v>
      </c>
      <c r="U123" s="20">
        <v>4.0</v>
      </c>
      <c r="V123" s="20">
        <v>4.5</v>
      </c>
    </row>
    <row r="124">
      <c r="B124" s="4" t="s">
        <v>2</v>
      </c>
      <c r="C124" s="8">
        <f t="shared" ref="C124:V124" si="21">max(0, C123)</f>
        <v>0</v>
      </c>
      <c r="D124" s="8">
        <f t="shared" si="21"/>
        <v>0</v>
      </c>
      <c r="E124" s="8">
        <f t="shared" si="21"/>
        <v>0</v>
      </c>
      <c r="F124" s="8">
        <f t="shared" si="21"/>
        <v>0</v>
      </c>
      <c r="G124" s="8">
        <f t="shared" si="21"/>
        <v>0</v>
      </c>
      <c r="H124" s="8">
        <f t="shared" si="21"/>
        <v>0</v>
      </c>
      <c r="I124" s="8">
        <f t="shared" si="21"/>
        <v>0</v>
      </c>
      <c r="J124" s="8">
        <f t="shared" si="21"/>
        <v>0</v>
      </c>
      <c r="K124" s="8">
        <f t="shared" si="21"/>
        <v>0</v>
      </c>
      <c r="L124" s="8">
        <f t="shared" si="21"/>
        <v>0</v>
      </c>
      <c r="M124" s="8">
        <f t="shared" si="21"/>
        <v>0</v>
      </c>
      <c r="N124" s="8">
        <f t="shared" si="21"/>
        <v>0.5</v>
      </c>
      <c r="O124" s="8">
        <f t="shared" si="21"/>
        <v>1</v>
      </c>
      <c r="P124" s="8">
        <f t="shared" si="21"/>
        <v>1.5</v>
      </c>
      <c r="Q124" s="8">
        <f t="shared" si="21"/>
        <v>2</v>
      </c>
      <c r="R124" s="8">
        <f t="shared" si="21"/>
        <v>2.5</v>
      </c>
      <c r="S124" s="8">
        <f t="shared" si="21"/>
        <v>3</v>
      </c>
      <c r="T124" s="8">
        <f t="shared" si="21"/>
        <v>3.5</v>
      </c>
      <c r="U124" s="8">
        <f t="shared" si="21"/>
        <v>4</v>
      </c>
      <c r="V124" s="8">
        <f t="shared" si="21"/>
        <v>4.5</v>
      </c>
    </row>
    <row r="125">
      <c r="B125" s="9" t="s">
        <v>8</v>
      </c>
      <c r="C125" s="8">
        <f t="shared" ref="C125:V125" si="22">max(0, C124)^2</f>
        <v>0</v>
      </c>
      <c r="D125" s="8">
        <f t="shared" si="22"/>
        <v>0</v>
      </c>
      <c r="E125" s="8">
        <f t="shared" si="22"/>
        <v>0</v>
      </c>
      <c r="F125" s="8">
        <f t="shared" si="22"/>
        <v>0</v>
      </c>
      <c r="G125" s="8">
        <f t="shared" si="22"/>
        <v>0</v>
      </c>
      <c r="H125" s="8">
        <f t="shared" si="22"/>
        <v>0</v>
      </c>
      <c r="I125" s="8">
        <f t="shared" si="22"/>
        <v>0</v>
      </c>
      <c r="J125" s="8">
        <f t="shared" si="22"/>
        <v>0</v>
      </c>
      <c r="K125" s="8">
        <f t="shared" si="22"/>
        <v>0</v>
      </c>
      <c r="L125" s="8">
        <f t="shared" si="22"/>
        <v>0</v>
      </c>
      <c r="M125" s="8">
        <f t="shared" si="22"/>
        <v>0</v>
      </c>
      <c r="N125" s="8">
        <f t="shared" si="22"/>
        <v>0.25</v>
      </c>
      <c r="O125" s="8">
        <f t="shared" si="22"/>
        <v>1</v>
      </c>
      <c r="P125" s="8">
        <f t="shared" si="22"/>
        <v>2.25</v>
      </c>
      <c r="Q125" s="8">
        <f t="shared" si="22"/>
        <v>4</v>
      </c>
      <c r="R125" s="8">
        <f t="shared" si="22"/>
        <v>6.25</v>
      </c>
      <c r="S125" s="8">
        <f t="shared" si="22"/>
        <v>9</v>
      </c>
      <c r="T125" s="8">
        <f t="shared" si="22"/>
        <v>12.25</v>
      </c>
      <c r="U125" s="8">
        <f t="shared" si="22"/>
        <v>16</v>
      </c>
      <c r="V125" s="8">
        <f t="shared" si="22"/>
        <v>20.25</v>
      </c>
    </row>
    <row r="126">
      <c r="B126" s="9" t="s">
        <v>11</v>
      </c>
      <c r="C126" s="21" t="s">
        <v>12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50">
      <c r="A150" s="1" t="s">
        <v>13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>
      <c r="B154" s="2"/>
      <c r="C154" s="15"/>
    </row>
    <row r="156">
      <c r="B156" s="2" t="s">
        <v>1</v>
      </c>
      <c r="C156" s="19">
        <f t="array" ref="C156:V156">SEQUENCE(1, 20, -5, 0.5)</f>
        <v>-5</v>
      </c>
      <c r="D156" s="20">
        <v>-4.5</v>
      </c>
      <c r="E156" s="20">
        <v>-4.0</v>
      </c>
      <c r="F156" s="20">
        <v>-3.5</v>
      </c>
      <c r="G156" s="20">
        <v>-3.0</v>
      </c>
      <c r="H156" s="20">
        <v>-2.5</v>
      </c>
      <c r="I156" s="20">
        <v>-2.0</v>
      </c>
      <c r="J156" s="20">
        <v>-1.5</v>
      </c>
      <c r="K156" s="20">
        <v>-1.0</v>
      </c>
      <c r="L156" s="20">
        <v>-0.5</v>
      </c>
      <c r="M156" s="20">
        <v>0.0</v>
      </c>
      <c r="N156" s="20">
        <v>0.5</v>
      </c>
      <c r="O156" s="20">
        <v>1.0</v>
      </c>
      <c r="P156" s="20">
        <v>1.5</v>
      </c>
      <c r="Q156" s="20">
        <v>2.0</v>
      </c>
      <c r="R156" s="20">
        <v>2.5</v>
      </c>
      <c r="S156" s="20">
        <v>3.0</v>
      </c>
      <c r="T156" s="20">
        <v>3.5</v>
      </c>
      <c r="U156" s="20">
        <v>4.0</v>
      </c>
      <c r="V156" s="20">
        <v>4.5</v>
      </c>
    </row>
    <row r="157">
      <c r="B157" s="4" t="s">
        <v>2</v>
      </c>
      <c r="C157" s="8">
        <f t="shared" ref="C157:V157" si="23">max(0, C156)</f>
        <v>0</v>
      </c>
      <c r="D157" s="8">
        <f t="shared" si="23"/>
        <v>0</v>
      </c>
      <c r="E157" s="8">
        <f t="shared" si="23"/>
        <v>0</v>
      </c>
      <c r="F157" s="8">
        <f t="shared" si="23"/>
        <v>0</v>
      </c>
      <c r="G157" s="8">
        <f t="shared" si="23"/>
        <v>0</v>
      </c>
      <c r="H157" s="8">
        <f t="shared" si="23"/>
        <v>0</v>
      </c>
      <c r="I157" s="8">
        <f t="shared" si="23"/>
        <v>0</v>
      </c>
      <c r="J157" s="8">
        <f t="shared" si="23"/>
        <v>0</v>
      </c>
      <c r="K157" s="8">
        <f t="shared" si="23"/>
        <v>0</v>
      </c>
      <c r="L157" s="8">
        <f t="shared" si="23"/>
        <v>0</v>
      </c>
      <c r="M157" s="8">
        <f t="shared" si="23"/>
        <v>0</v>
      </c>
      <c r="N157" s="8">
        <f t="shared" si="23"/>
        <v>0.5</v>
      </c>
      <c r="O157" s="8">
        <f t="shared" si="23"/>
        <v>1</v>
      </c>
      <c r="P157" s="8">
        <f t="shared" si="23"/>
        <v>1.5</v>
      </c>
      <c r="Q157" s="8">
        <f t="shared" si="23"/>
        <v>2</v>
      </c>
      <c r="R157" s="8">
        <f t="shared" si="23"/>
        <v>2.5</v>
      </c>
      <c r="S157" s="8">
        <f t="shared" si="23"/>
        <v>3</v>
      </c>
      <c r="T157" s="8">
        <f t="shared" si="23"/>
        <v>3.5</v>
      </c>
      <c r="U157" s="8">
        <f t="shared" si="23"/>
        <v>4</v>
      </c>
      <c r="V157" s="8">
        <f t="shared" si="23"/>
        <v>4.5</v>
      </c>
    </row>
    <row r="158">
      <c r="B158" s="4" t="s">
        <v>14</v>
      </c>
      <c r="C158" s="22">
        <f t="shared" ref="C158:V158" si="24">0.5 * C156* (1 + TANH(SQRT(2/PI()) * (C156 + 0.044715 * C156^3)))</f>
        <v>-0.0000002291796197</v>
      </c>
      <c r="D158" s="22">
        <f t="shared" si="24"/>
        <v>-0.000005136737412</v>
      </c>
      <c r="E158" s="22">
        <f t="shared" si="24"/>
        <v>-0.00007024594819</v>
      </c>
      <c r="F158" s="22">
        <f t="shared" si="24"/>
        <v>-0.0006161976554</v>
      </c>
      <c r="G158" s="22">
        <f t="shared" si="24"/>
        <v>-0.003637392082</v>
      </c>
      <c r="H158" s="22">
        <f t="shared" si="24"/>
        <v>-0.01508426609</v>
      </c>
      <c r="I158" s="22">
        <f t="shared" si="24"/>
        <v>-0.04540230591</v>
      </c>
      <c r="J158" s="22">
        <f t="shared" si="24"/>
        <v>-0.100428423</v>
      </c>
      <c r="K158" s="22">
        <f t="shared" si="24"/>
        <v>-0.1588080094</v>
      </c>
      <c r="L158" s="22">
        <f t="shared" si="24"/>
        <v>-0.1542859902</v>
      </c>
      <c r="M158" s="22">
        <f t="shared" si="24"/>
        <v>0</v>
      </c>
      <c r="N158" s="22">
        <f t="shared" si="24"/>
        <v>0.3457140098</v>
      </c>
      <c r="O158" s="22">
        <f t="shared" si="24"/>
        <v>0.8411919906</v>
      </c>
      <c r="P158" s="22">
        <f t="shared" si="24"/>
        <v>1.399571577</v>
      </c>
      <c r="Q158" s="22">
        <f t="shared" si="24"/>
        <v>1.954597694</v>
      </c>
      <c r="R158" s="22">
        <f t="shared" si="24"/>
        <v>2.484915734</v>
      </c>
      <c r="S158" s="22">
        <f t="shared" si="24"/>
        <v>2.996362608</v>
      </c>
      <c r="T158" s="22">
        <f t="shared" si="24"/>
        <v>3.499383802</v>
      </c>
      <c r="U158" s="22">
        <f t="shared" si="24"/>
        <v>3.999929754</v>
      </c>
      <c r="V158" s="22">
        <f t="shared" si="24"/>
        <v>4.499994863</v>
      </c>
    </row>
    <row r="183">
      <c r="A183" s="1" t="s">
        <v>15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>
      <c r="B187" s="2"/>
      <c r="C187" s="15"/>
    </row>
    <row r="189">
      <c r="A189" s="23"/>
      <c r="B189" s="24" t="s">
        <v>1</v>
      </c>
      <c r="C189" s="25">
        <f t="array" ref="C189:AI189">SEQUENCE(1, 33, -4, 0.25)</f>
        <v>-4</v>
      </c>
      <c r="D189" s="26">
        <v>-3.75</v>
      </c>
      <c r="E189" s="26">
        <v>-3.5</v>
      </c>
      <c r="F189" s="26">
        <v>-3.25</v>
      </c>
      <c r="G189" s="26">
        <v>-3.0</v>
      </c>
      <c r="H189" s="26">
        <v>-2.75</v>
      </c>
      <c r="I189" s="26">
        <v>-2.5</v>
      </c>
      <c r="J189" s="26">
        <v>-2.25</v>
      </c>
      <c r="K189" s="26">
        <v>-2.0</v>
      </c>
      <c r="L189" s="26">
        <v>-1.75</v>
      </c>
      <c r="M189" s="26">
        <v>-1.5</v>
      </c>
      <c r="N189" s="26">
        <v>-1.25</v>
      </c>
      <c r="O189" s="26">
        <v>-1.0</v>
      </c>
      <c r="P189" s="26">
        <v>-0.75</v>
      </c>
      <c r="Q189" s="26">
        <v>-0.5</v>
      </c>
      <c r="R189" s="26">
        <v>-0.25</v>
      </c>
      <c r="S189" s="26">
        <v>0.0</v>
      </c>
      <c r="T189" s="26">
        <v>0.25</v>
      </c>
      <c r="U189" s="26">
        <v>0.5</v>
      </c>
      <c r="V189" s="26">
        <v>0.75</v>
      </c>
      <c r="W189" s="23">
        <v>1.0</v>
      </c>
      <c r="X189" s="23">
        <v>1.25</v>
      </c>
      <c r="Y189" s="23">
        <v>1.5</v>
      </c>
      <c r="Z189" s="23">
        <v>1.75</v>
      </c>
      <c r="AA189" s="23">
        <v>2.0</v>
      </c>
      <c r="AB189" s="23">
        <v>2.25</v>
      </c>
      <c r="AC189" s="23">
        <v>2.5</v>
      </c>
      <c r="AD189" s="23">
        <v>2.75</v>
      </c>
      <c r="AE189" s="23">
        <v>3.0</v>
      </c>
      <c r="AF189" s="23">
        <v>3.25</v>
      </c>
      <c r="AG189" s="23">
        <v>3.5</v>
      </c>
      <c r="AH189" s="23">
        <v>3.75</v>
      </c>
      <c r="AI189" s="23">
        <v>4.0</v>
      </c>
      <c r="AJ189" s="23"/>
      <c r="AK189" s="23"/>
      <c r="AL189" s="23"/>
      <c r="AM189" s="23"/>
      <c r="AN189" s="23"/>
      <c r="AO189" s="23"/>
      <c r="AP189" s="23"/>
    </row>
    <row r="190">
      <c r="B190" s="4" t="s">
        <v>2</v>
      </c>
      <c r="C190" s="8">
        <f t="shared" ref="C190:AI190" si="25">max(0, C189)</f>
        <v>0</v>
      </c>
      <c r="D190" s="8">
        <f t="shared" si="25"/>
        <v>0</v>
      </c>
      <c r="E190" s="8">
        <f t="shared" si="25"/>
        <v>0</v>
      </c>
      <c r="F190" s="8">
        <f t="shared" si="25"/>
        <v>0</v>
      </c>
      <c r="G190" s="8">
        <f t="shared" si="25"/>
        <v>0</v>
      </c>
      <c r="H190" s="8">
        <f t="shared" si="25"/>
        <v>0</v>
      </c>
      <c r="I190" s="8">
        <f t="shared" si="25"/>
        <v>0</v>
      </c>
      <c r="J190" s="8">
        <f t="shared" si="25"/>
        <v>0</v>
      </c>
      <c r="K190" s="8">
        <f t="shared" si="25"/>
        <v>0</v>
      </c>
      <c r="L190" s="8">
        <f t="shared" si="25"/>
        <v>0</v>
      </c>
      <c r="M190" s="8">
        <f t="shared" si="25"/>
        <v>0</v>
      </c>
      <c r="N190" s="8">
        <f t="shared" si="25"/>
        <v>0</v>
      </c>
      <c r="O190" s="8">
        <f t="shared" si="25"/>
        <v>0</v>
      </c>
      <c r="P190" s="8">
        <f t="shared" si="25"/>
        <v>0</v>
      </c>
      <c r="Q190" s="8">
        <f t="shared" si="25"/>
        <v>0</v>
      </c>
      <c r="R190" s="8">
        <f t="shared" si="25"/>
        <v>0</v>
      </c>
      <c r="S190" s="8">
        <f t="shared" si="25"/>
        <v>0</v>
      </c>
      <c r="T190" s="8">
        <f t="shared" si="25"/>
        <v>0.25</v>
      </c>
      <c r="U190" s="8">
        <f t="shared" si="25"/>
        <v>0.5</v>
      </c>
      <c r="V190" s="8">
        <f t="shared" si="25"/>
        <v>0.75</v>
      </c>
      <c r="W190" s="8">
        <f t="shared" si="25"/>
        <v>1</v>
      </c>
      <c r="X190" s="8">
        <f t="shared" si="25"/>
        <v>1.25</v>
      </c>
      <c r="Y190" s="8">
        <f t="shared" si="25"/>
        <v>1.5</v>
      </c>
      <c r="Z190" s="8">
        <f t="shared" si="25"/>
        <v>1.75</v>
      </c>
      <c r="AA190" s="8">
        <f t="shared" si="25"/>
        <v>2</v>
      </c>
      <c r="AB190" s="8">
        <f t="shared" si="25"/>
        <v>2.25</v>
      </c>
      <c r="AC190" s="8">
        <f t="shared" si="25"/>
        <v>2.5</v>
      </c>
      <c r="AD190" s="8">
        <f t="shared" si="25"/>
        <v>2.75</v>
      </c>
      <c r="AE190" s="8">
        <f t="shared" si="25"/>
        <v>3</v>
      </c>
      <c r="AF190" s="8">
        <f t="shared" si="25"/>
        <v>3.25</v>
      </c>
      <c r="AG190" s="8">
        <f t="shared" si="25"/>
        <v>3.5</v>
      </c>
      <c r="AH190" s="8">
        <f t="shared" si="25"/>
        <v>3.75</v>
      </c>
      <c r="AI190" s="8">
        <f t="shared" si="25"/>
        <v>4</v>
      </c>
    </row>
    <row r="191">
      <c r="B191" s="9" t="s">
        <v>8</v>
      </c>
      <c r="C191" s="8">
        <f t="shared" ref="C191:AI191" si="26">max(0, C190)^2</f>
        <v>0</v>
      </c>
      <c r="D191" s="8">
        <f t="shared" si="26"/>
        <v>0</v>
      </c>
      <c r="E191" s="8">
        <f t="shared" si="26"/>
        <v>0</v>
      </c>
      <c r="F191" s="8">
        <f t="shared" si="26"/>
        <v>0</v>
      </c>
      <c r="G191" s="8">
        <f t="shared" si="26"/>
        <v>0</v>
      </c>
      <c r="H191" s="8">
        <f t="shared" si="26"/>
        <v>0</v>
      </c>
      <c r="I191" s="8">
        <f t="shared" si="26"/>
        <v>0</v>
      </c>
      <c r="J191" s="8">
        <f t="shared" si="26"/>
        <v>0</v>
      </c>
      <c r="K191" s="8">
        <f t="shared" si="26"/>
        <v>0</v>
      </c>
      <c r="L191" s="8">
        <f t="shared" si="26"/>
        <v>0</v>
      </c>
      <c r="M191" s="8">
        <f t="shared" si="26"/>
        <v>0</v>
      </c>
      <c r="N191" s="8">
        <f t="shared" si="26"/>
        <v>0</v>
      </c>
      <c r="O191" s="8">
        <f t="shared" si="26"/>
        <v>0</v>
      </c>
      <c r="P191" s="8">
        <f t="shared" si="26"/>
        <v>0</v>
      </c>
      <c r="Q191" s="8">
        <f t="shared" si="26"/>
        <v>0</v>
      </c>
      <c r="R191" s="8">
        <f t="shared" si="26"/>
        <v>0</v>
      </c>
      <c r="S191" s="8">
        <f t="shared" si="26"/>
        <v>0</v>
      </c>
      <c r="T191" s="8">
        <f t="shared" si="26"/>
        <v>0.0625</v>
      </c>
      <c r="U191" s="8">
        <f t="shared" si="26"/>
        <v>0.25</v>
      </c>
      <c r="V191" s="8">
        <f t="shared" si="26"/>
        <v>0.5625</v>
      </c>
      <c r="W191" s="8">
        <f t="shared" si="26"/>
        <v>1</v>
      </c>
      <c r="X191" s="8">
        <f t="shared" si="26"/>
        <v>1.5625</v>
      </c>
      <c r="Y191" s="8">
        <f t="shared" si="26"/>
        <v>2.25</v>
      </c>
      <c r="Z191" s="8">
        <f t="shared" si="26"/>
        <v>3.0625</v>
      </c>
      <c r="AA191" s="8">
        <f t="shared" si="26"/>
        <v>4</v>
      </c>
      <c r="AB191" s="8">
        <f t="shared" si="26"/>
        <v>5.0625</v>
      </c>
      <c r="AC191" s="8">
        <f t="shared" si="26"/>
        <v>6.25</v>
      </c>
      <c r="AD191" s="8">
        <f t="shared" si="26"/>
        <v>7.5625</v>
      </c>
      <c r="AE191" s="8">
        <f t="shared" si="26"/>
        <v>9</v>
      </c>
      <c r="AF191" s="8">
        <f t="shared" si="26"/>
        <v>10.5625</v>
      </c>
      <c r="AG191" s="8">
        <f t="shared" si="26"/>
        <v>12.25</v>
      </c>
      <c r="AH191" s="8">
        <f t="shared" si="26"/>
        <v>14.0625</v>
      </c>
      <c r="AI191" s="8">
        <f t="shared" si="26"/>
        <v>16</v>
      </c>
    </row>
    <row r="192">
      <c r="B192" s="9" t="s">
        <v>11</v>
      </c>
      <c r="C192" s="8">
        <f t="shared" ref="C192:AI192" si="27">max(C189*$C$121)</f>
        <v>-0.8</v>
      </c>
      <c r="D192" s="8">
        <f t="shared" si="27"/>
        <v>-0.75</v>
      </c>
      <c r="E192" s="8">
        <f t="shared" si="27"/>
        <v>-0.7</v>
      </c>
      <c r="F192" s="8">
        <f t="shared" si="27"/>
        <v>-0.65</v>
      </c>
      <c r="G192" s="8">
        <f t="shared" si="27"/>
        <v>-0.6</v>
      </c>
      <c r="H192" s="8">
        <f t="shared" si="27"/>
        <v>-0.55</v>
      </c>
      <c r="I192" s="8">
        <f t="shared" si="27"/>
        <v>-0.5</v>
      </c>
      <c r="J192" s="8">
        <f t="shared" si="27"/>
        <v>-0.45</v>
      </c>
      <c r="K192" s="8">
        <f t="shared" si="27"/>
        <v>-0.4</v>
      </c>
      <c r="L192" s="8">
        <f t="shared" si="27"/>
        <v>-0.35</v>
      </c>
      <c r="M192" s="8">
        <f t="shared" si="27"/>
        <v>-0.3</v>
      </c>
      <c r="N192" s="8">
        <f t="shared" si="27"/>
        <v>-0.25</v>
      </c>
      <c r="O192" s="8">
        <f t="shared" si="27"/>
        <v>-0.2</v>
      </c>
      <c r="P192" s="8">
        <f t="shared" si="27"/>
        <v>-0.15</v>
      </c>
      <c r="Q192" s="8">
        <f t="shared" si="27"/>
        <v>-0.1</v>
      </c>
      <c r="R192" s="8">
        <f t="shared" si="27"/>
        <v>-0.05</v>
      </c>
      <c r="S192" s="8">
        <f t="shared" si="27"/>
        <v>0</v>
      </c>
      <c r="T192" s="8">
        <f t="shared" si="27"/>
        <v>0.05</v>
      </c>
      <c r="U192" s="8">
        <f t="shared" si="27"/>
        <v>0.1</v>
      </c>
      <c r="V192" s="8">
        <f t="shared" si="27"/>
        <v>0.15</v>
      </c>
      <c r="W192" s="8">
        <f t="shared" si="27"/>
        <v>0.2</v>
      </c>
      <c r="X192" s="8">
        <f t="shared" si="27"/>
        <v>0.25</v>
      </c>
      <c r="Y192" s="8">
        <f t="shared" si="27"/>
        <v>0.3</v>
      </c>
      <c r="Z192" s="8">
        <f t="shared" si="27"/>
        <v>0.35</v>
      </c>
      <c r="AA192" s="8">
        <f t="shared" si="27"/>
        <v>0.4</v>
      </c>
      <c r="AB192" s="8">
        <f t="shared" si="27"/>
        <v>0.45</v>
      </c>
      <c r="AC192" s="8">
        <f t="shared" si="27"/>
        <v>0.5</v>
      </c>
      <c r="AD192" s="8">
        <f t="shared" si="27"/>
        <v>0.55</v>
      </c>
      <c r="AE192" s="8">
        <f t="shared" si="27"/>
        <v>0.6</v>
      </c>
      <c r="AF192" s="8">
        <f t="shared" si="27"/>
        <v>0.65</v>
      </c>
      <c r="AG192" s="8">
        <f t="shared" si="27"/>
        <v>0.7</v>
      </c>
      <c r="AH192" s="8">
        <f t="shared" si="27"/>
        <v>0.75</v>
      </c>
      <c r="AI192" s="8">
        <f t="shared" si="27"/>
        <v>0.8</v>
      </c>
    </row>
    <row r="193">
      <c r="B193" s="4" t="s">
        <v>14</v>
      </c>
      <c r="C193" s="22">
        <f t="shared" ref="C193:AI193" si="28">0.5 * C191* (1 + TANH(SQRT(2/PI()) * (C191 + 0.044715 * C191^3)))</f>
        <v>0</v>
      </c>
      <c r="D193" s="22">
        <f t="shared" si="28"/>
        <v>0</v>
      </c>
      <c r="E193" s="22">
        <f t="shared" si="28"/>
        <v>0</v>
      </c>
      <c r="F193" s="22">
        <f t="shared" si="28"/>
        <v>0</v>
      </c>
      <c r="G193" s="22">
        <f t="shared" si="28"/>
        <v>0</v>
      </c>
      <c r="H193" s="22">
        <f t="shared" si="28"/>
        <v>0</v>
      </c>
      <c r="I193" s="22">
        <f t="shared" si="28"/>
        <v>0</v>
      </c>
      <c r="J193" s="22">
        <f t="shared" si="28"/>
        <v>0</v>
      </c>
      <c r="K193" s="22">
        <f t="shared" si="28"/>
        <v>0</v>
      </c>
      <c r="L193" s="22">
        <f t="shared" si="28"/>
        <v>0</v>
      </c>
      <c r="M193" s="22">
        <f t="shared" si="28"/>
        <v>0</v>
      </c>
      <c r="N193" s="22">
        <f t="shared" si="28"/>
        <v>0</v>
      </c>
      <c r="O193" s="22">
        <f t="shared" si="28"/>
        <v>0</v>
      </c>
      <c r="P193" s="22">
        <f t="shared" si="28"/>
        <v>0</v>
      </c>
      <c r="Q193" s="22">
        <f t="shared" si="28"/>
        <v>0</v>
      </c>
      <c r="R193" s="22">
        <f t="shared" si="28"/>
        <v>0</v>
      </c>
      <c r="S193" s="22">
        <f t="shared" si="28"/>
        <v>0</v>
      </c>
      <c r="T193" s="22">
        <f t="shared" si="28"/>
        <v>0.03280734931</v>
      </c>
      <c r="U193" s="22">
        <f t="shared" si="28"/>
        <v>0.1496753507</v>
      </c>
      <c r="V193" s="22">
        <f t="shared" si="28"/>
        <v>0.4010993944</v>
      </c>
      <c r="W193" s="22">
        <f t="shared" si="28"/>
        <v>0.8411919906</v>
      </c>
      <c r="X193" s="22">
        <f t="shared" si="28"/>
        <v>1.469980613</v>
      </c>
      <c r="Y193" s="22">
        <f t="shared" si="28"/>
        <v>2.22279867</v>
      </c>
      <c r="Z193" s="22">
        <f t="shared" si="28"/>
        <v>3.059527345</v>
      </c>
      <c r="AA193" s="22">
        <f t="shared" si="28"/>
        <v>3.999929754</v>
      </c>
      <c r="AB193" s="22">
        <f t="shared" si="28"/>
        <v>5.06249985</v>
      </c>
      <c r="AC193" s="22">
        <f t="shared" si="28"/>
        <v>6.25</v>
      </c>
      <c r="AD193" s="22">
        <f t="shared" si="28"/>
        <v>7.5625</v>
      </c>
      <c r="AE193" s="22">
        <f t="shared" si="28"/>
        <v>9</v>
      </c>
      <c r="AF193" s="22">
        <f t="shared" si="28"/>
        <v>10.5625</v>
      </c>
      <c r="AG193" s="22">
        <f t="shared" si="28"/>
        <v>12.25</v>
      </c>
      <c r="AH193" s="22">
        <f t="shared" si="28"/>
        <v>14.0625</v>
      </c>
      <c r="AI193" s="22">
        <f t="shared" si="28"/>
        <v>16</v>
      </c>
    </row>
    <row r="194">
      <c r="B194" s="9" t="s">
        <v>16</v>
      </c>
      <c r="C194" s="22">
        <f t="shared" ref="C194:AI194" si="29">Tanh(C189)</f>
        <v>-0.9993292997</v>
      </c>
      <c r="D194" s="22">
        <f t="shared" si="29"/>
        <v>-0.9988944427</v>
      </c>
      <c r="E194" s="22">
        <f t="shared" si="29"/>
        <v>-0.9981778976</v>
      </c>
      <c r="F194" s="22">
        <f t="shared" si="29"/>
        <v>-0.9969976355</v>
      </c>
      <c r="G194" s="22">
        <f t="shared" si="29"/>
        <v>-0.9950547537</v>
      </c>
      <c r="H194" s="22">
        <f t="shared" si="29"/>
        <v>-0.9918597246</v>
      </c>
      <c r="I194" s="22">
        <f t="shared" si="29"/>
        <v>-0.9866142982</v>
      </c>
      <c r="J194" s="22">
        <f t="shared" si="29"/>
        <v>-0.9780261147</v>
      </c>
      <c r="K194" s="22">
        <f t="shared" si="29"/>
        <v>-0.9640275801</v>
      </c>
      <c r="L194" s="22">
        <f t="shared" si="29"/>
        <v>-0.9413755385</v>
      </c>
      <c r="M194" s="22">
        <f t="shared" si="29"/>
        <v>-0.9051482536</v>
      </c>
      <c r="N194" s="22">
        <f t="shared" si="29"/>
        <v>-0.84828364</v>
      </c>
      <c r="O194" s="22">
        <f t="shared" si="29"/>
        <v>-0.761594156</v>
      </c>
      <c r="P194" s="22">
        <f t="shared" si="29"/>
        <v>-0.6351489524</v>
      </c>
      <c r="Q194" s="22">
        <f t="shared" si="29"/>
        <v>-0.4621171573</v>
      </c>
      <c r="R194" s="22">
        <f t="shared" si="29"/>
        <v>-0.2449186624</v>
      </c>
      <c r="S194" s="22">
        <f t="shared" si="29"/>
        <v>0</v>
      </c>
      <c r="T194" s="22">
        <f t="shared" si="29"/>
        <v>0.2449186624</v>
      </c>
      <c r="U194" s="22">
        <f t="shared" si="29"/>
        <v>0.4621171573</v>
      </c>
      <c r="V194" s="22">
        <f t="shared" si="29"/>
        <v>0.6351489524</v>
      </c>
      <c r="W194" s="22">
        <f t="shared" si="29"/>
        <v>0.761594156</v>
      </c>
      <c r="X194" s="22">
        <f t="shared" si="29"/>
        <v>0.84828364</v>
      </c>
      <c r="Y194" s="22">
        <f t="shared" si="29"/>
        <v>0.9051482536</v>
      </c>
      <c r="Z194" s="22">
        <f t="shared" si="29"/>
        <v>0.9413755385</v>
      </c>
      <c r="AA194" s="22">
        <f t="shared" si="29"/>
        <v>0.9640275801</v>
      </c>
      <c r="AB194" s="22">
        <f t="shared" si="29"/>
        <v>0.9780261147</v>
      </c>
      <c r="AC194" s="22">
        <f t="shared" si="29"/>
        <v>0.9866142982</v>
      </c>
      <c r="AD194" s="22">
        <f t="shared" si="29"/>
        <v>0.9918597246</v>
      </c>
      <c r="AE194" s="22">
        <f t="shared" si="29"/>
        <v>0.9950547537</v>
      </c>
      <c r="AF194" s="22">
        <f t="shared" si="29"/>
        <v>0.9969976355</v>
      </c>
      <c r="AG194" s="22">
        <f t="shared" si="29"/>
        <v>0.9981778976</v>
      </c>
      <c r="AH194" s="22">
        <f t="shared" si="29"/>
        <v>0.9988944427</v>
      </c>
      <c r="AI194" s="22">
        <f t="shared" si="29"/>
        <v>0.9993292997</v>
      </c>
    </row>
    <row r="195">
      <c r="B195" s="9" t="s">
        <v>17</v>
      </c>
      <c r="C195" s="22">
        <f t="shared" ref="C195:AI195" si="30">1/(1+EXP(-C189))</f>
        <v>0.01798620996</v>
      </c>
      <c r="D195" s="22">
        <f t="shared" si="30"/>
        <v>0.02297736991</v>
      </c>
      <c r="E195" s="22">
        <f t="shared" si="30"/>
        <v>0.02931223075</v>
      </c>
      <c r="F195" s="22">
        <f t="shared" si="30"/>
        <v>0.03732688734</v>
      </c>
      <c r="G195" s="22">
        <f t="shared" si="30"/>
        <v>0.04742587318</v>
      </c>
      <c r="H195" s="22">
        <f t="shared" si="30"/>
        <v>0.06008665017</v>
      </c>
      <c r="I195" s="22">
        <f t="shared" si="30"/>
        <v>0.07585818002</v>
      </c>
      <c r="J195" s="22">
        <f t="shared" si="30"/>
        <v>0.0953494649</v>
      </c>
      <c r="K195" s="22">
        <f t="shared" si="30"/>
        <v>0.119202922</v>
      </c>
      <c r="L195" s="22">
        <f t="shared" si="30"/>
        <v>0.148047198</v>
      </c>
      <c r="M195" s="22">
        <f t="shared" si="30"/>
        <v>0.1824255238</v>
      </c>
      <c r="N195" s="22">
        <f t="shared" si="30"/>
        <v>0.2227001388</v>
      </c>
      <c r="O195" s="22">
        <f t="shared" si="30"/>
        <v>0.2689414214</v>
      </c>
      <c r="P195" s="22">
        <f t="shared" si="30"/>
        <v>0.3208213008</v>
      </c>
      <c r="Q195" s="22">
        <f t="shared" si="30"/>
        <v>0.3775406688</v>
      </c>
      <c r="R195" s="22">
        <f t="shared" si="30"/>
        <v>0.4378234991</v>
      </c>
      <c r="S195" s="22">
        <f t="shared" si="30"/>
        <v>0.5</v>
      </c>
      <c r="T195" s="22">
        <f t="shared" si="30"/>
        <v>0.5621765009</v>
      </c>
      <c r="U195" s="22">
        <f t="shared" si="30"/>
        <v>0.6224593312</v>
      </c>
      <c r="V195" s="22">
        <f t="shared" si="30"/>
        <v>0.6791786992</v>
      </c>
      <c r="W195" s="22">
        <f t="shared" si="30"/>
        <v>0.7310585786</v>
      </c>
      <c r="X195" s="22">
        <f t="shared" si="30"/>
        <v>0.7772998612</v>
      </c>
      <c r="Y195" s="22">
        <f t="shared" si="30"/>
        <v>0.8175744762</v>
      </c>
      <c r="Z195" s="22">
        <f t="shared" si="30"/>
        <v>0.851952802</v>
      </c>
      <c r="AA195" s="22">
        <f t="shared" si="30"/>
        <v>0.880797078</v>
      </c>
      <c r="AB195" s="22">
        <f t="shared" si="30"/>
        <v>0.9046505351</v>
      </c>
      <c r="AC195" s="22">
        <f t="shared" si="30"/>
        <v>0.92414182</v>
      </c>
      <c r="AD195" s="22">
        <f t="shared" si="30"/>
        <v>0.9399133498</v>
      </c>
      <c r="AE195" s="22">
        <f t="shared" si="30"/>
        <v>0.9525741268</v>
      </c>
      <c r="AF195" s="22">
        <f t="shared" si="30"/>
        <v>0.9626731127</v>
      </c>
      <c r="AG195" s="22">
        <f t="shared" si="30"/>
        <v>0.9706877692</v>
      </c>
      <c r="AH195" s="22">
        <f t="shared" si="30"/>
        <v>0.9770226301</v>
      </c>
      <c r="AI195" s="22">
        <f t="shared" si="30"/>
        <v>0.98201379</v>
      </c>
    </row>
    <row r="196">
      <c r="B196" s="9" t="s">
        <v>18</v>
      </c>
      <c r="C196" s="22">
        <f t="shared" ref="C196:AI196" si="31">C189/(1+EXP(-C189))</f>
        <v>-0.07194483985</v>
      </c>
      <c r="D196" s="22">
        <f t="shared" si="31"/>
        <v>-0.08616513716</v>
      </c>
      <c r="E196" s="22">
        <f t="shared" si="31"/>
        <v>-0.1025928076</v>
      </c>
      <c r="F196" s="22">
        <f t="shared" si="31"/>
        <v>-0.1213123839</v>
      </c>
      <c r="G196" s="22">
        <f t="shared" si="31"/>
        <v>-0.1422776195</v>
      </c>
      <c r="H196" s="22">
        <f t="shared" si="31"/>
        <v>-0.165238288</v>
      </c>
      <c r="I196" s="22">
        <f t="shared" si="31"/>
        <v>-0.1896454501</v>
      </c>
      <c r="J196" s="22">
        <f t="shared" si="31"/>
        <v>-0.214536296</v>
      </c>
      <c r="K196" s="22">
        <f t="shared" si="31"/>
        <v>-0.238405844</v>
      </c>
      <c r="L196" s="22">
        <f t="shared" si="31"/>
        <v>-0.2590825966</v>
      </c>
      <c r="M196" s="22">
        <f t="shared" si="31"/>
        <v>-0.2736382857</v>
      </c>
      <c r="N196" s="22">
        <f t="shared" si="31"/>
        <v>-0.2783751735</v>
      </c>
      <c r="O196" s="22">
        <f t="shared" si="31"/>
        <v>-0.2689414214</v>
      </c>
      <c r="P196" s="22">
        <f t="shared" si="31"/>
        <v>-0.2406159756</v>
      </c>
      <c r="Q196" s="22">
        <f t="shared" si="31"/>
        <v>-0.1887703344</v>
      </c>
      <c r="R196" s="22">
        <f t="shared" si="31"/>
        <v>-0.1094558748</v>
      </c>
      <c r="S196" s="22">
        <f t="shared" si="31"/>
        <v>0</v>
      </c>
      <c r="T196" s="22">
        <f t="shared" si="31"/>
        <v>0.1405441252</v>
      </c>
      <c r="U196" s="22">
        <f t="shared" si="31"/>
        <v>0.3112296656</v>
      </c>
      <c r="V196" s="22">
        <f t="shared" si="31"/>
        <v>0.5093840244</v>
      </c>
      <c r="W196" s="22">
        <f t="shared" si="31"/>
        <v>0.7310585786</v>
      </c>
      <c r="X196" s="22">
        <f t="shared" si="31"/>
        <v>0.9716248265</v>
      </c>
      <c r="Y196" s="22">
        <f t="shared" si="31"/>
        <v>1.226361714</v>
      </c>
      <c r="Z196" s="22">
        <f t="shared" si="31"/>
        <v>1.490917403</v>
      </c>
      <c r="AA196" s="22">
        <f t="shared" si="31"/>
        <v>1.761594156</v>
      </c>
      <c r="AB196" s="22">
        <f t="shared" si="31"/>
        <v>2.035463704</v>
      </c>
      <c r="AC196" s="22">
        <f t="shared" si="31"/>
        <v>2.31035455</v>
      </c>
      <c r="AD196" s="22">
        <f t="shared" si="31"/>
        <v>2.584761712</v>
      </c>
      <c r="AE196" s="22">
        <f t="shared" si="31"/>
        <v>2.85772238</v>
      </c>
      <c r="AF196" s="22">
        <f t="shared" si="31"/>
        <v>3.128687616</v>
      </c>
      <c r="AG196" s="22">
        <f t="shared" si="31"/>
        <v>3.397407192</v>
      </c>
      <c r="AH196" s="22">
        <f t="shared" si="31"/>
        <v>3.663834863</v>
      </c>
      <c r="AI196" s="22">
        <f t="shared" si="31"/>
        <v>3.92805516</v>
      </c>
    </row>
    <row r="197">
      <c r="B197" s="9" t="s">
        <v>19</v>
      </c>
      <c r="C197" s="22">
        <f t="array" ref="C197:AI197">(C189:AI189) *
  ((C189:AI189) / (1 + EXP(-(C189:AI189))))</f>
        <v>0.2877793594</v>
      </c>
      <c r="D197" s="22">
        <v>0.3231192643597352</v>
      </c>
      <c r="E197" s="22">
        <v>0.35907482670411495</v>
      </c>
      <c r="F197" s="22">
        <v>0.3942652475723674</v>
      </c>
      <c r="G197" s="22">
        <v>0.42683285859810105</v>
      </c>
      <c r="H197" s="22">
        <v>0.45440529194093265</v>
      </c>
      <c r="I197" s="22">
        <v>0.47411362513277217</v>
      </c>
      <c r="J197" s="22">
        <v>0.4827066660517418</v>
      </c>
      <c r="K197" s="22">
        <v>0.4768116880884702</v>
      </c>
      <c r="L197" s="22">
        <v>0.453394543972049</v>
      </c>
      <c r="M197" s="22">
        <v>0.4104574285643018</v>
      </c>
      <c r="N197" s="22">
        <v>0.34796896691454504</v>
      </c>
      <c r="O197" s="22">
        <v>0.2689414213699951</v>
      </c>
      <c r="P197" s="22">
        <v>0.18046198171384145</v>
      </c>
      <c r="Q197" s="22">
        <v>0.09438516719953635</v>
      </c>
      <c r="R197" s="22">
        <v>0.02736396869463762</v>
      </c>
      <c r="S197" s="22">
        <v>0.0</v>
      </c>
      <c r="T197" s="22">
        <v>0.03513603130536238</v>
      </c>
      <c r="U197" s="22">
        <v>0.15561483280046365</v>
      </c>
      <c r="V197" s="22">
        <v>0.3820380182861586</v>
      </c>
      <c r="W197" s="22">
        <v>0.7310585786300049</v>
      </c>
      <c r="X197" s="22">
        <v>1.2145310330854548</v>
      </c>
      <c r="Y197" s="22">
        <v>1.839542571435698</v>
      </c>
      <c r="Z197" s="22">
        <v>2.6091054560279514</v>
      </c>
      <c r="AA197" s="22">
        <v>3.5231883119115293</v>
      </c>
      <c r="AB197" s="22">
        <v>4.579793333948259</v>
      </c>
      <c r="AC197" s="22">
        <v>5.775886374867229</v>
      </c>
      <c r="AD197" s="22">
        <v>7.108094708059067</v>
      </c>
      <c r="AE197" s="22">
        <v>8.5731671414019</v>
      </c>
      <c r="AF197" s="22">
        <v>10.168234752427633</v>
      </c>
      <c r="AG197" s="22">
        <v>11.890925173295884</v>
      </c>
      <c r="AH197" s="22">
        <v>13.739380735640264</v>
      </c>
      <c r="AI197" s="22">
        <v>15.712220640606535</v>
      </c>
    </row>
    <row r="200">
      <c r="V200" s="15" t="s">
        <v>20</v>
      </c>
    </row>
    <row r="201">
      <c r="V201" s="15" t="s">
        <v>21</v>
      </c>
    </row>
    <row r="202">
      <c r="V202" s="15" t="s">
        <v>22</v>
      </c>
    </row>
    <row r="228">
      <c r="A228" s="1" t="s">
        <v>23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30">
      <c r="A230" s="23"/>
      <c r="B230" s="25" t="s">
        <v>1</v>
      </c>
      <c r="C230" s="25">
        <f t="array" ref="C230:AI230">SEQUENCE(1, 33, -4, 0.25)</f>
        <v>-4</v>
      </c>
      <c r="D230" s="26">
        <v>-3.75</v>
      </c>
      <c r="E230" s="26">
        <v>-3.5</v>
      </c>
      <c r="F230" s="26">
        <v>-3.25</v>
      </c>
      <c r="G230" s="26">
        <v>-3.0</v>
      </c>
      <c r="H230" s="26">
        <v>-2.75</v>
      </c>
      <c r="I230" s="26">
        <v>-2.5</v>
      </c>
      <c r="J230" s="26">
        <v>-2.25</v>
      </c>
      <c r="K230" s="26">
        <v>-2.0</v>
      </c>
      <c r="L230" s="26">
        <v>-1.75</v>
      </c>
      <c r="M230" s="26">
        <v>-1.5</v>
      </c>
      <c r="N230" s="26">
        <v>-1.25</v>
      </c>
      <c r="O230" s="26">
        <v>-1.0</v>
      </c>
      <c r="P230" s="26">
        <v>-0.75</v>
      </c>
      <c r="Q230" s="26">
        <v>-0.5</v>
      </c>
      <c r="R230" s="26">
        <v>-0.25</v>
      </c>
      <c r="S230" s="26">
        <v>0.0</v>
      </c>
      <c r="T230" s="26">
        <v>0.25</v>
      </c>
      <c r="U230" s="26">
        <v>0.5</v>
      </c>
      <c r="V230" s="26">
        <v>0.75</v>
      </c>
      <c r="W230" s="26">
        <v>1.0</v>
      </c>
      <c r="X230" s="26">
        <v>1.25</v>
      </c>
      <c r="Y230" s="26">
        <v>1.5</v>
      </c>
      <c r="Z230" s="26">
        <v>1.75</v>
      </c>
      <c r="AA230" s="26">
        <v>2.0</v>
      </c>
      <c r="AB230" s="26">
        <v>2.25</v>
      </c>
      <c r="AC230" s="26">
        <v>2.5</v>
      </c>
      <c r="AD230" s="26">
        <v>2.75</v>
      </c>
      <c r="AE230" s="26">
        <v>3.0</v>
      </c>
      <c r="AF230" s="26">
        <v>3.25</v>
      </c>
      <c r="AG230" s="26">
        <v>3.5</v>
      </c>
      <c r="AH230" s="26">
        <v>3.75</v>
      </c>
      <c r="AI230" s="26">
        <v>4.0</v>
      </c>
      <c r="AJ230" s="23"/>
      <c r="AK230" s="23"/>
      <c r="AL230" s="23"/>
      <c r="AM230" s="23"/>
      <c r="AN230" s="23"/>
      <c r="AO230" s="23"/>
      <c r="AP230" s="23"/>
    </row>
    <row r="231">
      <c r="B231" s="27" t="s">
        <v>2</v>
      </c>
      <c r="C231" s="8">
        <f t="shared" ref="C231:AI231" si="32">max(0, C230)</f>
        <v>0</v>
      </c>
      <c r="D231" s="8">
        <f t="shared" si="32"/>
        <v>0</v>
      </c>
      <c r="E231" s="8">
        <f t="shared" si="32"/>
        <v>0</v>
      </c>
      <c r="F231" s="8">
        <f t="shared" si="32"/>
        <v>0</v>
      </c>
      <c r="G231" s="8">
        <f t="shared" si="32"/>
        <v>0</v>
      </c>
      <c r="H231" s="8">
        <f t="shared" si="32"/>
        <v>0</v>
      </c>
      <c r="I231" s="8">
        <f t="shared" si="32"/>
        <v>0</v>
      </c>
      <c r="J231" s="8">
        <f t="shared" si="32"/>
        <v>0</v>
      </c>
      <c r="K231" s="8">
        <f t="shared" si="32"/>
        <v>0</v>
      </c>
      <c r="L231" s="8">
        <f t="shared" si="32"/>
        <v>0</v>
      </c>
      <c r="M231" s="8">
        <f t="shared" si="32"/>
        <v>0</v>
      </c>
      <c r="N231" s="8">
        <f t="shared" si="32"/>
        <v>0</v>
      </c>
      <c r="O231" s="8">
        <f t="shared" si="32"/>
        <v>0</v>
      </c>
      <c r="P231" s="8">
        <f t="shared" si="32"/>
        <v>0</v>
      </c>
      <c r="Q231" s="8">
        <f t="shared" si="32"/>
        <v>0</v>
      </c>
      <c r="R231" s="8">
        <f t="shared" si="32"/>
        <v>0</v>
      </c>
      <c r="S231" s="8">
        <f t="shared" si="32"/>
        <v>0</v>
      </c>
      <c r="T231" s="8">
        <f t="shared" si="32"/>
        <v>0.25</v>
      </c>
      <c r="U231" s="8">
        <f t="shared" si="32"/>
        <v>0.5</v>
      </c>
      <c r="V231" s="8">
        <f t="shared" si="32"/>
        <v>0.75</v>
      </c>
      <c r="W231" s="8">
        <f t="shared" si="32"/>
        <v>1</v>
      </c>
      <c r="X231" s="8">
        <f t="shared" si="32"/>
        <v>1.25</v>
      </c>
      <c r="Y231" s="8">
        <f t="shared" si="32"/>
        <v>1.5</v>
      </c>
      <c r="Z231" s="8">
        <f t="shared" si="32"/>
        <v>1.75</v>
      </c>
      <c r="AA231" s="8">
        <f t="shared" si="32"/>
        <v>2</v>
      </c>
      <c r="AB231" s="8">
        <f t="shared" si="32"/>
        <v>2.25</v>
      </c>
      <c r="AC231" s="8">
        <f t="shared" si="32"/>
        <v>2.5</v>
      </c>
      <c r="AD231" s="8">
        <f t="shared" si="32"/>
        <v>2.75</v>
      </c>
      <c r="AE231" s="8">
        <f t="shared" si="32"/>
        <v>3</v>
      </c>
      <c r="AF231" s="8">
        <f t="shared" si="32"/>
        <v>3.25</v>
      </c>
      <c r="AG231" s="8">
        <f t="shared" si="32"/>
        <v>3.5</v>
      </c>
      <c r="AH231" s="8">
        <f t="shared" si="32"/>
        <v>3.75</v>
      </c>
      <c r="AI231" s="8">
        <f t="shared" si="32"/>
        <v>4</v>
      </c>
    </row>
    <row r="232">
      <c r="B232" s="9" t="s">
        <v>24</v>
      </c>
      <c r="C232" s="8">
        <f t="shared" ref="C232:AI232" si="33">max(0, -C230)</f>
        <v>4</v>
      </c>
      <c r="D232" s="8">
        <f t="shared" si="33"/>
        <v>3.75</v>
      </c>
      <c r="E232" s="8">
        <f t="shared" si="33"/>
        <v>3.5</v>
      </c>
      <c r="F232" s="8">
        <f t="shared" si="33"/>
        <v>3.25</v>
      </c>
      <c r="G232" s="8">
        <f t="shared" si="33"/>
        <v>3</v>
      </c>
      <c r="H232" s="8">
        <f t="shared" si="33"/>
        <v>2.75</v>
      </c>
      <c r="I232" s="8">
        <f t="shared" si="33"/>
        <v>2.5</v>
      </c>
      <c r="J232" s="8">
        <f t="shared" si="33"/>
        <v>2.25</v>
      </c>
      <c r="K232" s="8">
        <f t="shared" si="33"/>
        <v>2</v>
      </c>
      <c r="L232" s="8">
        <f t="shared" si="33"/>
        <v>1.75</v>
      </c>
      <c r="M232" s="8">
        <f t="shared" si="33"/>
        <v>1.5</v>
      </c>
      <c r="N232" s="8">
        <f t="shared" si="33"/>
        <v>1.25</v>
      </c>
      <c r="O232" s="8">
        <f t="shared" si="33"/>
        <v>1</v>
      </c>
      <c r="P232" s="8">
        <f t="shared" si="33"/>
        <v>0.75</v>
      </c>
      <c r="Q232" s="8">
        <f t="shared" si="33"/>
        <v>0.5</v>
      </c>
      <c r="R232" s="8">
        <f t="shared" si="33"/>
        <v>0.25</v>
      </c>
      <c r="S232" s="8">
        <f t="shared" si="33"/>
        <v>0</v>
      </c>
      <c r="T232" s="8">
        <f t="shared" si="33"/>
        <v>0</v>
      </c>
      <c r="U232" s="8">
        <f t="shared" si="33"/>
        <v>0</v>
      </c>
      <c r="V232" s="8">
        <f t="shared" si="33"/>
        <v>0</v>
      </c>
      <c r="W232" s="8">
        <f t="shared" si="33"/>
        <v>0</v>
      </c>
      <c r="X232" s="8">
        <f t="shared" si="33"/>
        <v>0</v>
      </c>
      <c r="Y232" s="8">
        <f t="shared" si="33"/>
        <v>0</v>
      </c>
      <c r="Z232" s="8">
        <f t="shared" si="33"/>
        <v>0</v>
      </c>
      <c r="AA232" s="8">
        <f t="shared" si="33"/>
        <v>0</v>
      </c>
      <c r="AB232" s="8">
        <f t="shared" si="33"/>
        <v>0</v>
      </c>
      <c r="AC232" s="8">
        <f t="shared" si="33"/>
        <v>0</v>
      </c>
      <c r="AD232" s="8">
        <f t="shared" si="33"/>
        <v>0</v>
      </c>
      <c r="AE232" s="8">
        <f t="shared" si="33"/>
        <v>0</v>
      </c>
      <c r="AF232" s="8">
        <f t="shared" si="33"/>
        <v>0</v>
      </c>
      <c r="AG232" s="8">
        <f t="shared" si="33"/>
        <v>0</v>
      </c>
      <c r="AH232" s="8">
        <f t="shared" si="33"/>
        <v>0</v>
      </c>
      <c r="AI232" s="8">
        <f t="shared" si="33"/>
        <v>0</v>
      </c>
    </row>
    <row r="233">
      <c r="B233" s="27" t="s">
        <v>25</v>
      </c>
      <c r="C233" s="8">
        <f t="shared" ref="C233:AI233" si="34">C231+C232</f>
        <v>4</v>
      </c>
      <c r="D233" s="8">
        <f t="shared" si="34"/>
        <v>3.75</v>
      </c>
      <c r="E233" s="8">
        <f t="shared" si="34"/>
        <v>3.5</v>
      </c>
      <c r="F233" s="8">
        <f t="shared" si="34"/>
        <v>3.25</v>
      </c>
      <c r="G233" s="8">
        <f t="shared" si="34"/>
        <v>3</v>
      </c>
      <c r="H233" s="8">
        <f t="shared" si="34"/>
        <v>2.75</v>
      </c>
      <c r="I233" s="8">
        <f t="shared" si="34"/>
        <v>2.5</v>
      </c>
      <c r="J233" s="8">
        <f t="shared" si="34"/>
        <v>2.25</v>
      </c>
      <c r="K233" s="8">
        <f t="shared" si="34"/>
        <v>2</v>
      </c>
      <c r="L233" s="8">
        <f t="shared" si="34"/>
        <v>1.75</v>
      </c>
      <c r="M233" s="8">
        <f t="shared" si="34"/>
        <v>1.5</v>
      </c>
      <c r="N233" s="8">
        <f t="shared" si="34"/>
        <v>1.25</v>
      </c>
      <c r="O233" s="8">
        <f t="shared" si="34"/>
        <v>1</v>
      </c>
      <c r="P233" s="8">
        <f t="shared" si="34"/>
        <v>0.75</v>
      </c>
      <c r="Q233" s="8">
        <f t="shared" si="34"/>
        <v>0.5</v>
      </c>
      <c r="R233" s="8">
        <f t="shared" si="34"/>
        <v>0.25</v>
      </c>
      <c r="S233" s="8">
        <f t="shared" si="34"/>
        <v>0</v>
      </c>
      <c r="T233" s="8">
        <f t="shared" si="34"/>
        <v>0.25</v>
      </c>
      <c r="U233" s="8">
        <f t="shared" si="34"/>
        <v>0.5</v>
      </c>
      <c r="V233" s="8">
        <f t="shared" si="34"/>
        <v>0.75</v>
      </c>
      <c r="W233" s="8">
        <f t="shared" si="34"/>
        <v>1</v>
      </c>
      <c r="X233" s="8">
        <f t="shared" si="34"/>
        <v>1.25</v>
      </c>
      <c r="Y233" s="8">
        <f t="shared" si="34"/>
        <v>1.5</v>
      </c>
      <c r="Z233" s="8">
        <f t="shared" si="34"/>
        <v>1.75</v>
      </c>
      <c r="AA233" s="8">
        <f t="shared" si="34"/>
        <v>2</v>
      </c>
      <c r="AB233" s="8">
        <f t="shared" si="34"/>
        <v>2.25</v>
      </c>
      <c r="AC233" s="8">
        <f t="shared" si="34"/>
        <v>2.5</v>
      </c>
      <c r="AD233" s="8">
        <f t="shared" si="34"/>
        <v>2.75</v>
      </c>
      <c r="AE233" s="8">
        <f t="shared" si="34"/>
        <v>3</v>
      </c>
      <c r="AF233" s="8">
        <f t="shared" si="34"/>
        <v>3.25</v>
      </c>
      <c r="AG233" s="8">
        <f t="shared" si="34"/>
        <v>3.5</v>
      </c>
      <c r="AH233" s="8">
        <f t="shared" si="34"/>
        <v>3.75</v>
      </c>
      <c r="AI233" s="8">
        <f t="shared" si="34"/>
        <v>4</v>
      </c>
    </row>
    <row r="236">
      <c r="R236" s="15" t="s">
        <v>26</v>
      </c>
    </row>
  </sheetData>
  <mergeCells count="9">
    <mergeCell ref="A183:Z183"/>
    <mergeCell ref="A228:Z228"/>
    <mergeCell ref="A1:Z1"/>
    <mergeCell ref="A6:Z6"/>
    <mergeCell ref="A11:Z11"/>
    <mergeCell ref="A32:Z32"/>
    <mergeCell ref="A88:Z88"/>
    <mergeCell ref="A117:Z117"/>
    <mergeCell ref="A150:Z150"/>
  </mergeCells>
  <conditionalFormatting sqref="E56:V74 D57:D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5.38"/>
  </cols>
  <sheetData>
    <row r="1">
      <c r="A1" s="1" t="s">
        <v>0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B3" s="2" t="s">
        <v>1</v>
      </c>
      <c r="C3" s="3">
        <v>5.0</v>
      </c>
    </row>
    <row r="4">
      <c r="B4" s="4" t="s">
        <v>2</v>
      </c>
      <c r="C4" s="8">
        <f>max(0, C3)</f>
        <v>5</v>
      </c>
    </row>
    <row r="6">
      <c r="A6" s="1" t="s">
        <v>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8">
      <c r="B8" s="2" t="s">
        <v>1</v>
      </c>
      <c r="C8" s="6">
        <f t="array" ref="C8:V8">SEQUENCE(1, 20, -5, 0.5)</f>
        <v>-5</v>
      </c>
      <c r="D8" s="7">
        <v>-4.5</v>
      </c>
      <c r="E8" s="7">
        <v>-4.0</v>
      </c>
      <c r="F8" s="7">
        <v>-3.5</v>
      </c>
      <c r="G8" s="7">
        <v>-3.0</v>
      </c>
      <c r="H8" s="7">
        <v>-2.5</v>
      </c>
      <c r="I8" s="7">
        <v>-2.0</v>
      </c>
      <c r="J8" s="7">
        <v>-1.5</v>
      </c>
      <c r="K8" s="7">
        <v>-1.0</v>
      </c>
      <c r="L8" s="7">
        <v>-0.5</v>
      </c>
      <c r="M8" s="7">
        <v>0.0</v>
      </c>
      <c r="N8" s="7">
        <v>0.5</v>
      </c>
      <c r="O8" s="7">
        <v>1.0</v>
      </c>
      <c r="P8" s="7">
        <v>1.5</v>
      </c>
      <c r="Q8" s="7">
        <v>2.0</v>
      </c>
      <c r="R8" s="7">
        <v>2.5</v>
      </c>
      <c r="S8" s="7">
        <v>3.0</v>
      </c>
      <c r="T8" s="7">
        <v>3.5</v>
      </c>
      <c r="U8" s="7">
        <v>4.0</v>
      </c>
      <c r="V8" s="7">
        <v>4.5</v>
      </c>
    </row>
    <row r="9">
      <c r="B9" s="4" t="s">
        <v>2</v>
      </c>
      <c r="C9" s="8">
        <f t="shared" ref="C9:V9" si="1">max(0, C8)</f>
        <v>0</v>
      </c>
      <c r="D9" s="8">
        <f t="shared" si="1"/>
        <v>0</v>
      </c>
      <c r="E9" s="8">
        <f t="shared" si="1"/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8">
        <f t="shared" si="1"/>
        <v>0</v>
      </c>
      <c r="J9" s="8">
        <f t="shared" si="1"/>
        <v>0</v>
      </c>
      <c r="K9" s="8">
        <f t="shared" si="1"/>
        <v>0</v>
      </c>
      <c r="L9" s="8">
        <f t="shared" si="1"/>
        <v>0</v>
      </c>
      <c r="M9" s="8">
        <f t="shared" si="1"/>
        <v>0</v>
      </c>
      <c r="N9" s="8">
        <f t="shared" si="1"/>
        <v>0.5</v>
      </c>
      <c r="O9" s="8">
        <f t="shared" si="1"/>
        <v>1</v>
      </c>
      <c r="P9" s="8">
        <f t="shared" si="1"/>
        <v>1.5</v>
      </c>
      <c r="Q9" s="8">
        <f t="shared" si="1"/>
        <v>2</v>
      </c>
      <c r="R9" s="8">
        <f t="shared" si="1"/>
        <v>2.5</v>
      </c>
      <c r="S9" s="8">
        <f t="shared" si="1"/>
        <v>3</v>
      </c>
      <c r="T9" s="8">
        <f t="shared" si="1"/>
        <v>3.5</v>
      </c>
      <c r="U9" s="8">
        <f t="shared" si="1"/>
        <v>4</v>
      </c>
      <c r="V9" s="8">
        <f t="shared" si="1"/>
        <v>4.5</v>
      </c>
    </row>
    <row r="11">
      <c r="A11" s="1" t="s">
        <v>5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32">
      <c r="A32" s="1" t="s">
        <v>6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4">
      <c r="B34" s="9" t="s">
        <v>1</v>
      </c>
      <c r="C34" s="10">
        <f t="array" ref="C34:V34">SEQUENCE(1, 20, -5, 0.5)</f>
        <v>-5</v>
      </c>
      <c r="D34" s="11">
        <v>-4.5</v>
      </c>
      <c r="E34" s="11">
        <v>-4.0</v>
      </c>
      <c r="F34" s="11">
        <v>-3.5</v>
      </c>
      <c r="G34" s="11">
        <v>-3.0</v>
      </c>
      <c r="H34" s="11">
        <v>-2.5</v>
      </c>
      <c r="I34" s="11">
        <v>-2.0</v>
      </c>
      <c r="J34" s="11">
        <v>-1.5</v>
      </c>
      <c r="K34" s="11">
        <v>-1.0</v>
      </c>
      <c r="L34" s="11">
        <v>-0.5</v>
      </c>
      <c r="M34" s="11">
        <v>0.0</v>
      </c>
      <c r="N34" s="11">
        <v>0.5</v>
      </c>
      <c r="O34" s="11">
        <v>1.0</v>
      </c>
      <c r="P34" s="11">
        <v>1.5</v>
      </c>
      <c r="Q34" s="11">
        <v>2.0</v>
      </c>
      <c r="R34" s="11">
        <v>2.5</v>
      </c>
      <c r="S34" s="11">
        <v>3.0</v>
      </c>
      <c r="T34" s="11">
        <v>3.5</v>
      </c>
      <c r="U34" s="11">
        <v>4.0</v>
      </c>
      <c r="V34" s="11">
        <v>4.5</v>
      </c>
    </row>
    <row r="35">
      <c r="B35" s="4"/>
      <c r="C35" s="12">
        <f t="array" ref="C35:C53">SEQUENCE(19, 1, -4.5, 0.5)</f>
        <v>-4.5</v>
      </c>
      <c r="D35" s="8">
        <f t="shared" ref="D35:V35" si="2">D$34+$C35</f>
        <v>-9</v>
      </c>
      <c r="E35" s="8">
        <f t="shared" si="2"/>
        <v>-8.5</v>
      </c>
      <c r="F35" s="8">
        <f t="shared" si="2"/>
        <v>-8</v>
      </c>
      <c r="G35" s="8">
        <f t="shared" si="2"/>
        <v>-7.5</v>
      </c>
      <c r="H35" s="8">
        <f t="shared" si="2"/>
        <v>-7</v>
      </c>
      <c r="I35" s="8">
        <f t="shared" si="2"/>
        <v>-6.5</v>
      </c>
      <c r="J35" s="8">
        <f t="shared" si="2"/>
        <v>-6</v>
      </c>
      <c r="K35" s="8">
        <f t="shared" si="2"/>
        <v>-5.5</v>
      </c>
      <c r="L35" s="8">
        <f t="shared" si="2"/>
        <v>-5</v>
      </c>
      <c r="M35" s="8">
        <f t="shared" si="2"/>
        <v>-4.5</v>
      </c>
      <c r="N35" s="8">
        <f t="shared" si="2"/>
        <v>-4</v>
      </c>
      <c r="O35" s="8">
        <f t="shared" si="2"/>
        <v>-3.5</v>
      </c>
      <c r="P35" s="8">
        <f t="shared" si="2"/>
        <v>-3</v>
      </c>
      <c r="Q35" s="8">
        <f t="shared" si="2"/>
        <v>-2.5</v>
      </c>
      <c r="R35" s="8">
        <f t="shared" si="2"/>
        <v>-2</v>
      </c>
      <c r="S35" s="8">
        <f t="shared" si="2"/>
        <v>-1.5</v>
      </c>
      <c r="T35" s="8">
        <f t="shared" si="2"/>
        <v>-1</v>
      </c>
      <c r="U35" s="8">
        <f t="shared" si="2"/>
        <v>-0.5</v>
      </c>
      <c r="V35" s="8">
        <f t="shared" si="2"/>
        <v>0</v>
      </c>
    </row>
    <row r="36">
      <c r="C36" s="12">
        <v>-4.0</v>
      </c>
      <c r="D36" s="8">
        <f t="shared" ref="D36:V36" si="3">D$34+$C36</f>
        <v>-8.5</v>
      </c>
      <c r="E36" s="8">
        <f t="shared" si="3"/>
        <v>-8</v>
      </c>
      <c r="F36" s="8">
        <f t="shared" si="3"/>
        <v>-7.5</v>
      </c>
      <c r="G36" s="8">
        <f t="shared" si="3"/>
        <v>-7</v>
      </c>
      <c r="H36" s="8">
        <f t="shared" si="3"/>
        <v>-6.5</v>
      </c>
      <c r="I36" s="8">
        <f t="shared" si="3"/>
        <v>-6</v>
      </c>
      <c r="J36" s="8">
        <f t="shared" si="3"/>
        <v>-5.5</v>
      </c>
      <c r="K36" s="8">
        <f t="shared" si="3"/>
        <v>-5</v>
      </c>
      <c r="L36" s="8">
        <f t="shared" si="3"/>
        <v>-4.5</v>
      </c>
      <c r="M36" s="8">
        <f t="shared" si="3"/>
        <v>-4</v>
      </c>
      <c r="N36" s="8">
        <f t="shared" si="3"/>
        <v>-3.5</v>
      </c>
      <c r="O36" s="8">
        <f t="shared" si="3"/>
        <v>-3</v>
      </c>
      <c r="P36" s="8">
        <f t="shared" si="3"/>
        <v>-2.5</v>
      </c>
      <c r="Q36" s="8">
        <f t="shared" si="3"/>
        <v>-2</v>
      </c>
      <c r="R36" s="8">
        <f t="shared" si="3"/>
        <v>-1.5</v>
      </c>
      <c r="S36" s="8">
        <f t="shared" si="3"/>
        <v>-1</v>
      </c>
      <c r="T36" s="8">
        <f t="shared" si="3"/>
        <v>-0.5</v>
      </c>
      <c r="U36" s="8">
        <f t="shared" si="3"/>
        <v>0</v>
      </c>
      <c r="V36" s="8">
        <f t="shared" si="3"/>
        <v>0.5</v>
      </c>
    </row>
    <row r="37">
      <c r="C37" s="12">
        <v>-3.5</v>
      </c>
      <c r="D37" s="8">
        <f t="shared" ref="D37:V37" si="4">D$34+$C37</f>
        <v>-8</v>
      </c>
      <c r="E37" s="8">
        <f t="shared" si="4"/>
        <v>-7.5</v>
      </c>
      <c r="F37" s="8">
        <f t="shared" si="4"/>
        <v>-7</v>
      </c>
      <c r="G37" s="8">
        <f t="shared" si="4"/>
        <v>-6.5</v>
      </c>
      <c r="H37" s="8">
        <f t="shared" si="4"/>
        <v>-6</v>
      </c>
      <c r="I37" s="8">
        <f t="shared" si="4"/>
        <v>-5.5</v>
      </c>
      <c r="J37" s="8">
        <f t="shared" si="4"/>
        <v>-5</v>
      </c>
      <c r="K37" s="8">
        <f t="shared" si="4"/>
        <v>-4.5</v>
      </c>
      <c r="L37" s="8">
        <f t="shared" si="4"/>
        <v>-4</v>
      </c>
      <c r="M37" s="8">
        <f t="shared" si="4"/>
        <v>-3.5</v>
      </c>
      <c r="N37" s="8">
        <f t="shared" si="4"/>
        <v>-3</v>
      </c>
      <c r="O37" s="8">
        <f t="shared" si="4"/>
        <v>-2.5</v>
      </c>
      <c r="P37" s="8">
        <f t="shared" si="4"/>
        <v>-2</v>
      </c>
      <c r="Q37" s="8">
        <f t="shared" si="4"/>
        <v>-1.5</v>
      </c>
      <c r="R37" s="8">
        <f t="shared" si="4"/>
        <v>-1</v>
      </c>
      <c r="S37" s="8">
        <f t="shared" si="4"/>
        <v>-0.5</v>
      </c>
      <c r="T37" s="8">
        <f t="shared" si="4"/>
        <v>0</v>
      </c>
      <c r="U37" s="8">
        <f t="shared" si="4"/>
        <v>0.5</v>
      </c>
      <c r="V37" s="8">
        <f t="shared" si="4"/>
        <v>1</v>
      </c>
    </row>
    <row r="38">
      <c r="C38" s="12">
        <v>-3.0</v>
      </c>
      <c r="D38" s="8">
        <f t="shared" ref="D38:V38" si="5">D$34+$C38</f>
        <v>-7.5</v>
      </c>
      <c r="E38" s="8">
        <f t="shared" si="5"/>
        <v>-7</v>
      </c>
      <c r="F38" s="8">
        <f t="shared" si="5"/>
        <v>-6.5</v>
      </c>
      <c r="G38" s="8">
        <f t="shared" si="5"/>
        <v>-6</v>
      </c>
      <c r="H38" s="8">
        <f t="shared" si="5"/>
        <v>-5.5</v>
      </c>
      <c r="I38" s="8">
        <f t="shared" si="5"/>
        <v>-5</v>
      </c>
      <c r="J38" s="8">
        <f t="shared" si="5"/>
        <v>-4.5</v>
      </c>
      <c r="K38" s="8">
        <f t="shared" si="5"/>
        <v>-4</v>
      </c>
      <c r="L38" s="8">
        <f t="shared" si="5"/>
        <v>-3.5</v>
      </c>
      <c r="M38" s="8">
        <f t="shared" si="5"/>
        <v>-3</v>
      </c>
      <c r="N38" s="8">
        <f t="shared" si="5"/>
        <v>-2.5</v>
      </c>
      <c r="O38" s="8">
        <f t="shared" si="5"/>
        <v>-2</v>
      </c>
      <c r="P38" s="8">
        <f t="shared" si="5"/>
        <v>-1.5</v>
      </c>
      <c r="Q38" s="8">
        <f t="shared" si="5"/>
        <v>-1</v>
      </c>
      <c r="R38" s="8">
        <f t="shared" si="5"/>
        <v>-0.5</v>
      </c>
      <c r="S38" s="8">
        <f t="shared" si="5"/>
        <v>0</v>
      </c>
      <c r="T38" s="8">
        <f t="shared" si="5"/>
        <v>0.5</v>
      </c>
      <c r="U38" s="8">
        <f t="shared" si="5"/>
        <v>1</v>
      </c>
      <c r="V38" s="8">
        <f t="shared" si="5"/>
        <v>1.5</v>
      </c>
    </row>
    <row r="39">
      <c r="C39" s="12">
        <v>-2.5</v>
      </c>
      <c r="D39" s="8">
        <f t="shared" ref="D39:V39" si="6">D$34+$C39</f>
        <v>-7</v>
      </c>
      <c r="E39" s="8">
        <f t="shared" si="6"/>
        <v>-6.5</v>
      </c>
      <c r="F39" s="8">
        <f t="shared" si="6"/>
        <v>-6</v>
      </c>
      <c r="G39" s="8">
        <f t="shared" si="6"/>
        <v>-5.5</v>
      </c>
      <c r="H39" s="8">
        <f t="shared" si="6"/>
        <v>-5</v>
      </c>
      <c r="I39" s="8">
        <f t="shared" si="6"/>
        <v>-4.5</v>
      </c>
      <c r="J39" s="8">
        <f t="shared" si="6"/>
        <v>-4</v>
      </c>
      <c r="K39" s="8">
        <f t="shared" si="6"/>
        <v>-3.5</v>
      </c>
      <c r="L39" s="8">
        <f t="shared" si="6"/>
        <v>-3</v>
      </c>
      <c r="M39" s="8">
        <f t="shared" si="6"/>
        <v>-2.5</v>
      </c>
      <c r="N39" s="8">
        <f t="shared" si="6"/>
        <v>-2</v>
      </c>
      <c r="O39" s="8">
        <f t="shared" si="6"/>
        <v>-1.5</v>
      </c>
      <c r="P39" s="8">
        <f t="shared" si="6"/>
        <v>-1</v>
      </c>
      <c r="Q39" s="8">
        <f t="shared" si="6"/>
        <v>-0.5</v>
      </c>
      <c r="R39" s="8">
        <f t="shared" si="6"/>
        <v>0</v>
      </c>
      <c r="S39" s="8">
        <f t="shared" si="6"/>
        <v>0.5</v>
      </c>
      <c r="T39" s="8">
        <f t="shared" si="6"/>
        <v>1</v>
      </c>
      <c r="U39" s="8">
        <f t="shared" si="6"/>
        <v>1.5</v>
      </c>
      <c r="V39" s="8">
        <f t="shared" si="6"/>
        <v>2</v>
      </c>
    </row>
    <row r="40">
      <c r="C40" s="12">
        <v>-2.0</v>
      </c>
      <c r="D40" s="8">
        <f t="shared" ref="D40:V40" si="7">D$34+$C40</f>
        <v>-6.5</v>
      </c>
      <c r="E40" s="8">
        <f t="shared" si="7"/>
        <v>-6</v>
      </c>
      <c r="F40" s="8">
        <f t="shared" si="7"/>
        <v>-5.5</v>
      </c>
      <c r="G40" s="8">
        <f t="shared" si="7"/>
        <v>-5</v>
      </c>
      <c r="H40" s="8">
        <f t="shared" si="7"/>
        <v>-4.5</v>
      </c>
      <c r="I40" s="8">
        <f t="shared" si="7"/>
        <v>-4</v>
      </c>
      <c r="J40" s="8">
        <f t="shared" si="7"/>
        <v>-3.5</v>
      </c>
      <c r="K40" s="8">
        <f t="shared" si="7"/>
        <v>-3</v>
      </c>
      <c r="L40" s="8">
        <f t="shared" si="7"/>
        <v>-2.5</v>
      </c>
      <c r="M40" s="8">
        <f t="shared" si="7"/>
        <v>-2</v>
      </c>
      <c r="N40" s="8">
        <f t="shared" si="7"/>
        <v>-1.5</v>
      </c>
      <c r="O40" s="8">
        <f t="shared" si="7"/>
        <v>-1</v>
      </c>
      <c r="P40" s="8">
        <f t="shared" si="7"/>
        <v>-0.5</v>
      </c>
      <c r="Q40" s="8">
        <f t="shared" si="7"/>
        <v>0</v>
      </c>
      <c r="R40" s="8">
        <f t="shared" si="7"/>
        <v>0.5</v>
      </c>
      <c r="S40" s="8">
        <f t="shared" si="7"/>
        <v>1</v>
      </c>
      <c r="T40" s="8">
        <f t="shared" si="7"/>
        <v>1.5</v>
      </c>
      <c r="U40" s="8">
        <f t="shared" si="7"/>
        <v>2</v>
      </c>
      <c r="V40" s="8">
        <f t="shared" si="7"/>
        <v>2.5</v>
      </c>
    </row>
    <row r="41">
      <c r="C41" s="12">
        <v>-1.5</v>
      </c>
      <c r="D41" s="8">
        <f t="shared" ref="D41:V41" si="8">D$34+$C41</f>
        <v>-6</v>
      </c>
      <c r="E41" s="8">
        <f t="shared" si="8"/>
        <v>-5.5</v>
      </c>
      <c r="F41" s="8">
        <f t="shared" si="8"/>
        <v>-5</v>
      </c>
      <c r="G41" s="8">
        <f t="shared" si="8"/>
        <v>-4.5</v>
      </c>
      <c r="H41" s="8">
        <f t="shared" si="8"/>
        <v>-4</v>
      </c>
      <c r="I41" s="8">
        <f t="shared" si="8"/>
        <v>-3.5</v>
      </c>
      <c r="J41" s="8">
        <f t="shared" si="8"/>
        <v>-3</v>
      </c>
      <c r="K41" s="8">
        <f t="shared" si="8"/>
        <v>-2.5</v>
      </c>
      <c r="L41" s="8">
        <f t="shared" si="8"/>
        <v>-2</v>
      </c>
      <c r="M41" s="8">
        <f t="shared" si="8"/>
        <v>-1.5</v>
      </c>
      <c r="N41" s="8">
        <f t="shared" si="8"/>
        <v>-1</v>
      </c>
      <c r="O41" s="8">
        <f t="shared" si="8"/>
        <v>-0.5</v>
      </c>
      <c r="P41" s="8">
        <f t="shared" si="8"/>
        <v>0</v>
      </c>
      <c r="Q41" s="8">
        <f t="shared" si="8"/>
        <v>0.5</v>
      </c>
      <c r="R41" s="8">
        <f t="shared" si="8"/>
        <v>1</v>
      </c>
      <c r="S41" s="8">
        <f t="shared" si="8"/>
        <v>1.5</v>
      </c>
      <c r="T41" s="8">
        <f t="shared" si="8"/>
        <v>2</v>
      </c>
      <c r="U41" s="8">
        <f t="shared" si="8"/>
        <v>2.5</v>
      </c>
      <c r="V41" s="8">
        <f t="shared" si="8"/>
        <v>3</v>
      </c>
    </row>
    <row r="42">
      <c r="C42" s="12">
        <v>-1.0</v>
      </c>
      <c r="D42" s="8">
        <f t="shared" ref="D42:V42" si="9">D$34+$C42</f>
        <v>-5.5</v>
      </c>
      <c r="E42" s="8">
        <f t="shared" si="9"/>
        <v>-5</v>
      </c>
      <c r="F42" s="8">
        <f t="shared" si="9"/>
        <v>-4.5</v>
      </c>
      <c r="G42" s="8">
        <f t="shared" si="9"/>
        <v>-4</v>
      </c>
      <c r="H42" s="8">
        <f t="shared" si="9"/>
        <v>-3.5</v>
      </c>
      <c r="I42" s="8">
        <f t="shared" si="9"/>
        <v>-3</v>
      </c>
      <c r="J42" s="8">
        <f t="shared" si="9"/>
        <v>-2.5</v>
      </c>
      <c r="K42" s="8">
        <f t="shared" si="9"/>
        <v>-2</v>
      </c>
      <c r="L42" s="8">
        <f t="shared" si="9"/>
        <v>-1.5</v>
      </c>
      <c r="M42" s="8">
        <f t="shared" si="9"/>
        <v>-1</v>
      </c>
      <c r="N42" s="8">
        <f t="shared" si="9"/>
        <v>-0.5</v>
      </c>
      <c r="O42" s="8">
        <f t="shared" si="9"/>
        <v>0</v>
      </c>
      <c r="P42" s="8">
        <f t="shared" si="9"/>
        <v>0.5</v>
      </c>
      <c r="Q42" s="8">
        <f t="shared" si="9"/>
        <v>1</v>
      </c>
      <c r="R42" s="8">
        <f t="shared" si="9"/>
        <v>1.5</v>
      </c>
      <c r="S42" s="8">
        <f t="shared" si="9"/>
        <v>2</v>
      </c>
      <c r="T42" s="8">
        <f t="shared" si="9"/>
        <v>2.5</v>
      </c>
      <c r="U42" s="8">
        <f t="shared" si="9"/>
        <v>3</v>
      </c>
      <c r="V42" s="8">
        <f t="shared" si="9"/>
        <v>3.5</v>
      </c>
    </row>
    <row r="43">
      <c r="C43" s="12">
        <v>-0.5</v>
      </c>
      <c r="D43" s="8">
        <f t="shared" ref="D43:V43" si="10">D$34+$C43</f>
        <v>-5</v>
      </c>
      <c r="E43" s="8">
        <f t="shared" si="10"/>
        <v>-4.5</v>
      </c>
      <c r="F43" s="8">
        <f t="shared" si="10"/>
        <v>-4</v>
      </c>
      <c r="G43" s="8">
        <f t="shared" si="10"/>
        <v>-3.5</v>
      </c>
      <c r="H43" s="8">
        <f t="shared" si="10"/>
        <v>-3</v>
      </c>
      <c r="I43" s="8">
        <f t="shared" si="10"/>
        <v>-2.5</v>
      </c>
      <c r="J43" s="8">
        <f t="shared" si="10"/>
        <v>-2</v>
      </c>
      <c r="K43" s="8">
        <f t="shared" si="10"/>
        <v>-1.5</v>
      </c>
      <c r="L43" s="8">
        <f t="shared" si="10"/>
        <v>-1</v>
      </c>
      <c r="M43" s="8">
        <f t="shared" si="10"/>
        <v>-0.5</v>
      </c>
      <c r="N43" s="8">
        <f t="shared" si="10"/>
        <v>0</v>
      </c>
      <c r="O43" s="8">
        <f t="shared" si="10"/>
        <v>0.5</v>
      </c>
      <c r="P43" s="8">
        <f t="shared" si="10"/>
        <v>1</v>
      </c>
      <c r="Q43" s="8">
        <f t="shared" si="10"/>
        <v>1.5</v>
      </c>
      <c r="R43" s="8">
        <f t="shared" si="10"/>
        <v>2</v>
      </c>
      <c r="S43" s="8">
        <f t="shared" si="10"/>
        <v>2.5</v>
      </c>
      <c r="T43" s="8">
        <f t="shared" si="10"/>
        <v>3</v>
      </c>
      <c r="U43" s="8">
        <f t="shared" si="10"/>
        <v>3.5</v>
      </c>
      <c r="V43" s="8">
        <f t="shared" si="10"/>
        <v>4</v>
      </c>
    </row>
    <row r="44">
      <c r="C44" s="12">
        <v>0.0</v>
      </c>
      <c r="D44" s="8">
        <f t="shared" ref="D44:V44" si="11">D$34+$C44</f>
        <v>-4.5</v>
      </c>
      <c r="E44" s="8">
        <f t="shared" si="11"/>
        <v>-4</v>
      </c>
      <c r="F44" s="8">
        <f t="shared" si="11"/>
        <v>-3.5</v>
      </c>
      <c r="G44" s="8">
        <f t="shared" si="11"/>
        <v>-3</v>
      </c>
      <c r="H44" s="8">
        <f t="shared" si="11"/>
        <v>-2.5</v>
      </c>
      <c r="I44" s="8">
        <f t="shared" si="11"/>
        <v>-2</v>
      </c>
      <c r="J44" s="8">
        <f t="shared" si="11"/>
        <v>-1.5</v>
      </c>
      <c r="K44" s="8">
        <f t="shared" si="11"/>
        <v>-1</v>
      </c>
      <c r="L44" s="8">
        <f t="shared" si="11"/>
        <v>-0.5</v>
      </c>
      <c r="M44" s="8">
        <f t="shared" si="11"/>
        <v>0</v>
      </c>
      <c r="N44" s="8">
        <f t="shared" si="11"/>
        <v>0.5</v>
      </c>
      <c r="O44" s="8">
        <f t="shared" si="11"/>
        <v>1</v>
      </c>
      <c r="P44" s="8">
        <f t="shared" si="11"/>
        <v>1.5</v>
      </c>
      <c r="Q44" s="8">
        <f t="shared" si="11"/>
        <v>2</v>
      </c>
      <c r="R44" s="8">
        <f t="shared" si="11"/>
        <v>2.5</v>
      </c>
      <c r="S44" s="8">
        <f t="shared" si="11"/>
        <v>3</v>
      </c>
      <c r="T44" s="8">
        <f t="shared" si="11"/>
        <v>3.5</v>
      </c>
      <c r="U44" s="8">
        <f t="shared" si="11"/>
        <v>4</v>
      </c>
      <c r="V44" s="8">
        <f t="shared" si="11"/>
        <v>4.5</v>
      </c>
    </row>
    <row r="45">
      <c r="C45" s="12">
        <v>0.5</v>
      </c>
      <c r="D45" s="8">
        <f t="shared" ref="D45:V45" si="12">D$34+$C45</f>
        <v>-4</v>
      </c>
      <c r="E45" s="8">
        <f t="shared" si="12"/>
        <v>-3.5</v>
      </c>
      <c r="F45" s="8">
        <f t="shared" si="12"/>
        <v>-3</v>
      </c>
      <c r="G45" s="8">
        <f t="shared" si="12"/>
        <v>-2.5</v>
      </c>
      <c r="H45" s="8">
        <f t="shared" si="12"/>
        <v>-2</v>
      </c>
      <c r="I45" s="8">
        <f t="shared" si="12"/>
        <v>-1.5</v>
      </c>
      <c r="J45" s="8">
        <f t="shared" si="12"/>
        <v>-1</v>
      </c>
      <c r="K45" s="8">
        <f t="shared" si="12"/>
        <v>-0.5</v>
      </c>
      <c r="L45" s="8">
        <f t="shared" si="12"/>
        <v>0</v>
      </c>
      <c r="M45" s="8">
        <f t="shared" si="12"/>
        <v>0.5</v>
      </c>
      <c r="N45" s="8">
        <f t="shared" si="12"/>
        <v>1</v>
      </c>
      <c r="O45" s="8">
        <f t="shared" si="12"/>
        <v>1.5</v>
      </c>
      <c r="P45" s="8">
        <f t="shared" si="12"/>
        <v>2</v>
      </c>
      <c r="Q45" s="8">
        <f t="shared" si="12"/>
        <v>2.5</v>
      </c>
      <c r="R45" s="8">
        <f t="shared" si="12"/>
        <v>3</v>
      </c>
      <c r="S45" s="8">
        <f t="shared" si="12"/>
        <v>3.5</v>
      </c>
      <c r="T45" s="8">
        <f t="shared" si="12"/>
        <v>4</v>
      </c>
      <c r="U45" s="8">
        <f t="shared" si="12"/>
        <v>4.5</v>
      </c>
      <c r="V45" s="8">
        <f t="shared" si="12"/>
        <v>5</v>
      </c>
    </row>
    <row r="46">
      <c r="C46" s="12">
        <v>1.0</v>
      </c>
      <c r="D46" s="8">
        <f t="shared" ref="D46:V46" si="13">D$34+$C46</f>
        <v>-3.5</v>
      </c>
      <c r="E46" s="8">
        <f t="shared" si="13"/>
        <v>-3</v>
      </c>
      <c r="F46" s="8">
        <f t="shared" si="13"/>
        <v>-2.5</v>
      </c>
      <c r="G46" s="8">
        <f t="shared" si="13"/>
        <v>-2</v>
      </c>
      <c r="H46" s="8">
        <f t="shared" si="13"/>
        <v>-1.5</v>
      </c>
      <c r="I46" s="8">
        <f t="shared" si="13"/>
        <v>-1</v>
      </c>
      <c r="J46" s="8">
        <f t="shared" si="13"/>
        <v>-0.5</v>
      </c>
      <c r="K46" s="8">
        <f t="shared" si="13"/>
        <v>0</v>
      </c>
      <c r="L46" s="8">
        <f t="shared" si="13"/>
        <v>0.5</v>
      </c>
      <c r="M46" s="8">
        <f t="shared" si="13"/>
        <v>1</v>
      </c>
      <c r="N46" s="8">
        <f t="shared" si="13"/>
        <v>1.5</v>
      </c>
      <c r="O46" s="8">
        <f t="shared" si="13"/>
        <v>2</v>
      </c>
      <c r="P46" s="8">
        <f t="shared" si="13"/>
        <v>2.5</v>
      </c>
      <c r="Q46" s="8">
        <f t="shared" si="13"/>
        <v>3</v>
      </c>
      <c r="R46" s="8">
        <f t="shared" si="13"/>
        <v>3.5</v>
      </c>
      <c r="S46" s="8">
        <f t="shared" si="13"/>
        <v>4</v>
      </c>
      <c r="T46" s="8">
        <f t="shared" si="13"/>
        <v>4.5</v>
      </c>
      <c r="U46" s="8">
        <f t="shared" si="13"/>
        <v>5</v>
      </c>
      <c r="V46" s="8">
        <f t="shared" si="13"/>
        <v>5.5</v>
      </c>
    </row>
    <row r="47">
      <c r="C47" s="12">
        <v>1.5</v>
      </c>
      <c r="D47" s="8">
        <f t="shared" ref="D47:V47" si="14">D$34+$C47</f>
        <v>-3</v>
      </c>
      <c r="E47" s="8">
        <f t="shared" si="14"/>
        <v>-2.5</v>
      </c>
      <c r="F47" s="8">
        <f t="shared" si="14"/>
        <v>-2</v>
      </c>
      <c r="G47" s="8">
        <f t="shared" si="14"/>
        <v>-1.5</v>
      </c>
      <c r="H47" s="8">
        <f t="shared" si="14"/>
        <v>-1</v>
      </c>
      <c r="I47" s="8">
        <f t="shared" si="14"/>
        <v>-0.5</v>
      </c>
      <c r="J47" s="8">
        <f t="shared" si="14"/>
        <v>0</v>
      </c>
      <c r="K47" s="8">
        <f t="shared" si="14"/>
        <v>0.5</v>
      </c>
      <c r="L47" s="8">
        <f t="shared" si="14"/>
        <v>1</v>
      </c>
      <c r="M47" s="8">
        <f t="shared" si="14"/>
        <v>1.5</v>
      </c>
      <c r="N47" s="8">
        <f t="shared" si="14"/>
        <v>2</v>
      </c>
      <c r="O47" s="8">
        <f t="shared" si="14"/>
        <v>2.5</v>
      </c>
      <c r="P47" s="8">
        <f t="shared" si="14"/>
        <v>3</v>
      </c>
      <c r="Q47" s="8">
        <f t="shared" si="14"/>
        <v>3.5</v>
      </c>
      <c r="R47" s="8">
        <f t="shared" si="14"/>
        <v>4</v>
      </c>
      <c r="S47" s="8">
        <f t="shared" si="14"/>
        <v>4.5</v>
      </c>
      <c r="T47" s="8">
        <f t="shared" si="14"/>
        <v>5</v>
      </c>
      <c r="U47" s="8">
        <f t="shared" si="14"/>
        <v>5.5</v>
      </c>
      <c r="V47" s="8">
        <f t="shared" si="14"/>
        <v>6</v>
      </c>
    </row>
    <row r="48">
      <c r="C48" s="12">
        <v>2.0</v>
      </c>
      <c r="D48" s="8">
        <f t="shared" ref="D48:V48" si="15">D$34+$C48</f>
        <v>-2.5</v>
      </c>
      <c r="E48" s="8">
        <f t="shared" si="15"/>
        <v>-2</v>
      </c>
      <c r="F48" s="8">
        <f t="shared" si="15"/>
        <v>-1.5</v>
      </c>
      <c r="G48" s="8">
        <f t="shared" si="15"/>
        <v>-1</v>
      </c>
      <c r="H48" s="8">
        <f t="shared" si="15"/>
        <v>-0.5</v>
      </c>
      <c r="I48" s="8">
        <f t="shared" si="15"/>
        <v>0</v>
      </c>
      <c r="J48" s="8">
        <f t="shared" si="15"/>
        <v>0.5</v>
      </c>
      <c r="K48" s="8">
        <f t="shared" si="15"/>
        <v>1</v>
      </c>
      <c r="L48" s="8">
        <f t="shared" si="15"/>
        <v>1.5</v>
      </c>
      <c r="M48" s="8">
        <f t="shared" si="15"/>
        <v>2</v>
      </c>
      <c r="N48" s="8">
        <f t="shared" si="15"/>
        <v>2.5</v>
      </c>
      <c r="O48" s="8">
        <f t="shared" si="15"/>
        <v>3</v>
      </c>
      <c r="P48" s="8">
        <f t="shared" si="15"/>
        <v>3.5</v>
      </c>
      <c r="Q48" s="8">
        <f t="shared" si="15"/>
        <v>4</v>
      </c>
      <c r="R48" s="8">
        <f t="shared" si="15"/>
        <v>4.5</v>
      </c>
      <c r="S48" s="8">
        <f t="shared" si="15"/>
        <v>5</v>
      </c>
      <c r="T48" s="8">
        <f t="shared" si="15"/>
        <v>5.5</v>
      </c>
      <c r="U48" s="8">
        <f t="shared" si="15"/>
        <v>6</v>
      </c>
      <c r="V48" s="8">
        <f t="shared" si="15"/>
        <v>6.5</v>
      </c>
    </row>
    <row r="49">
      <c r="C49" s="12">
        <v>2.5</v>
      </c>
      <c r="D49" s="8">
        <f t="shared" ref="D49:V49" si="16">D$34+$C49</f>
        <v>-2</v>
      </c>
      <c r="E49" s="8">
        <f t="shared" si="16"/>
        <v>-1.5</v>
      </c>
      <c r="F49" s="8">
        <f t="shared" si="16"/>
        <v>-1</v>
      </c>
      <c r="G49" s="8">
        <f t="shared" si="16"/>
        <v>-0.5</v>
      </c>
      <c r="H49" s="8">
        <f t="shared" si="16"/>
        <v>0</v>
      </c>
      <c r="I49" s="8">
        <f t="shared" si="16"/>
        <v>0.5</v>
      </c>
      <c r="J49" s="8">
        <f t="shared" si="16"/>
        <v>1</v>
      </c>
      <c r="K49" s="8">
        <f t="shared" si="16"/>
        <v>1.5</v>
      </c>
      <c r="L49" s="8">
        <f t="shared" si="16"/>
        <v>2</v>
      </c>
      <c r="M49" s="8">
        <f t="shared" si="16"/>
        <v>2.5</v>
      </c>
      <c r="N49" s="8">
        <f t="shared" si="16"/>
        <v>3</v>
      </c>
      <c r="O49" s="8">
        <f t="shared" si="16"/>
        <v>3.5</v>
      </c>
      <c r="P49" s="8">
        <f t="shared" si="16"/>
        <v>4</v>
      </c>
      <c r="Q49" s="8">
        <f t="shared" si="16"/>
        <v>4.5</v>
      </c>
      <c r="R49" s="8">
        <f t="shared" si="16"/>
        <v>5</v>
      </c>
      <c r="S49" s="8">
        <f t="shared" si="16"/>
        <v>5.5</v>
      </c>
      <c r="T49" s="8">
        <f t="shared" si="16"/>
        <v>6</v>
      </c>
      <c r="U49" s="8">
        <f t="shared" si="16"/>
        <v>6.5</v>
      </c>
      <c r="V49" s="8">
        <f t="shared" si="16"/>
        <v>7</v>
      </c>
    </row>
    <row r="50">
      <c r="C50" s="12">
        <v>3.0</v>
      </c>
      <c r="D50" s="8">
        <f t="shared" ref="D50:V50" si="17">D$34+$C50</f>
        <v>-1.5</v>
      </c>
      <c r="E50" s="8">
        <f t="shared" si="17"/>
        <v>-1</v>
      </c>
      <c r="F50" s="8">
        <f t="shared" si="17"/>
        <v>-0.5</v>
      </c>
      <c r="G50" s="8">
        <f t="shared" si="17"/>
        <v>0</v>
      </c>
      <c r="H50" s="8">
        <f t="shared" si="17"/>
        <v>0.5</v>
      </c>
      <c r="I50" s="8">
        <f t="shared" si="17"/>
        <v>1</v>
      </c>
      <c r="J50" s="8">
        <f t="shared" si="17"/>
        <v>1.5</v>
      </c>
      <c r="K50" s="8">
        <f t="shared" si="17"/>
        <v>2</v>
      </c>
      <c r="L50" s="8">
        <f t="shared" si="17"/>
        <v>2.5</v>
      </c>
      <c r="M50" s="8">
        <f t="shared" si="17"/>
        <v>3</v>
      </c>
      <c r="N50" s="8">
        <f t="shared" si="17"/>
        <v>3.5</v>
      </c>
      <c r="O50" s="8">
        <f t="shared" si="17"/>
        <v>4</v>
      </c>
      <c r="P50" s="8">
        <f t="shared" si="17"/>
        <v>4.5</v>
      </c>
      <c r="Q50" s="8">
        <f t="shared" si="17"/>
        <v>5</v>
      </c>
      <c r="R50" s="8">
        <f t="shared" si="17"/>
        <v>5.5</v>
      </c>
      <c r="S50" s="8">
        <f t="shared" si="17"/>
        <v>6</v>
      </c>
      <c r="T50" s="8">
        <f t="shared" si="17"/>
        <v>6.5</v>
      </c>
      <c r="U50" s="8">
        <f t="shared" si="17"/>
        <v>7</v>
      </c>
      <c r="V50" s="8">
        <f t="shared" si="17"/>
        <v>7.5</v>
      </c>
    </row>
    <row r="51">
      <c r="C51" s="12">
        <v>3.5</v>
      </c>
      <c r="D51" s="8">
        <f t="shared" ref="D51:V51" si="18">D$34+$C51</f>
        <v>-1</v>
      </c>
      <c r="E51" s="8">
        <f t="shared" si="18"/>
        <v>-0.5</v>
      </c>
      <c r="F51" s="8">
        <f t="shared" si="18"/>
        <v>0</v>
      </c>
      <c r="G51" s="8">
        <f t="shared" si="18"/>
        <v>0.5</v>
      </c>
      <c r="H51" s="8">
        <f t="shared" si="18"/>
        <v>1</v>
      </c>
      <c r="I51" s="8">
        <f t="shared" si="18"/>
        <v>1.5</v>
      </c>
      <c r="J51" s="8">
        <f t="shared" si="18"/>
        <v>2</v>
      </c>
      <c r="K51" s="8">
        <f t="shared" si="18"/>
        <v>2.5</v>
      </c>
      <c r="L51" s="8">
        <f t="shared" si="18"/>
        <v>3</v>
      </c>
      <c r="M51" s="8">
        <f t="shared" si="18"/>
        <v>3.5</v>
      </c>
      <c r="N51" s="8">
        <f t="shared" si="18"/>
        <v>4</v>
      </c>
      <c r="O51" s="8">
        <f t="shared" si="18"/>
        <v>4.5</v>
      </c>
      <c r="P51" s="8">
        <f t="shared" si="18"/>
        <v>5</v>
      </c>
      <c r="Q51" s="8">
        <f t="shared" si="18"/>
        <v>5.5</v>
      </c>
      <c r="R51" s="8">
        <f t="shared" si="18"/>
        <v>6</v>
      </c>
      <c r="S51" s="8">
        <f t="shared" si="18"/>
        <v>6.5</v>
      </c>
      <c r="T51" s="8">
        <f t="shared" si="18"/>
        <v>7</v>
      </c>
      <c r="U51" s="8">
        <f t="shared" si="18"/>
        <v>7.5</v>
      </c>
      <c r="V51" s="8">
        <f t="shared" si="18"/>
        <v>8</v>
      </c>
    </row>
    <row r="52">
      <c r="C52" s="12">
        <v>4.0</v>
      </c>
      <c r="D52" s="8">
        <f t="shared" ref="D52:V52" si="19">D$34+$C52</f>
        <v>-0.5</v>
      </c>
      <c r="E52" s="8">
        <f t="shared" si="19"/>
        <v>0</v>
      </c>
      <c r="F52" s="8">
        <f t="shared" si="19"/>
        <v>0.5</v>
      </c>
      <c r="G52" s="8">
        <f t="shared" si="19"/>
        <v>1</v>
      </c>
      <c r="H52" s="8">
        <f t="shared" si="19"/>
        <v>1.5</v>
      </c>
      <c r="I52" s="8">
        <f t="shared" si="19"/>
        <v>2</v>
      </c>
      <c r="J52" s="8">
        <f t="shared" si="19"/>
        <v>2.5</v>
      </c>
      <c r="K52" s="8">
        <f t="shared" si="19"/>
        <v>3</v>
      </c>
      <c r="L52" s="8">
        <f t="shared" si="19"/>
        <v>3.5</v>
      </c>
      <c r="M52" s="8">
        <f t="shared" si="19"/>
        <v>4</v>
      </c>
      <c r="N52" s="8">
        <f t="shared" si="19"/>
        <v>4.5</v>
      </c>
      <c r="O52" s="8">
        <f t="shared" si="19"/>
        <v>5</v>
      </c>
      <c r="P52" s="8">
        <f t="shared" si="19"/>
        <v>5.5</v>
      </c>
      <c r="Q52" s="8">
        <f t="shared" si="19"/>
        <v>6</v>
      </c>
      <c r="R52" s="8">
        <f t="shared" si="19"/>
        <v>6.5</v>
      </c>
      <c r="S52" s="8">
        <f t="shared" si="19"/>
        <v>7</v>
      </c>
      <c r="T52" s="8">
        <f t="shared" si="19"/>
        <v>7.5</v>
      </c>
      <c r="U52" s="8">
        <f t="shared" si="19"/>
        <v>8</v>
      </c>
      <c r="V52" s="8">
        <f t="shared" si="19"/>
        <v>8.5</v>
      </c>
    </row>
    <row r="53">
      <c r="C53" s="12">
        <v>4.5</v>
      </c>
      <c r="D53" s="8">
        <f t="shared" ref="D53:V53" si="20">D$34+$C53</f>
        <v>0</v>
      </c>
      <c r="E53" s="8">
        <f t="shared" si="20"/>
        <v>0.5</v>
      </c>
      <c r="F53" s="8">
        <f t="shared" si="20"/>
        <v>1</v>
      </c>
      <c r="G53" s="8">
        <f t="shared" si="20"/>
        <v>1.5</v>
      </c>
      <c r="H53" s="8">
        <f t="shared" si="20"/>
        <v>2</v>
      </c>
      <c r="I53" s="8">
        <f t="shared" si="20"/>
        <v>2.5</v>
      </c>
      <c r="J53" s="8">
        <f t="shared" si="20"/>
        <v>3</v>
      </c>
      <c r="K53" s="8">
        <f t="shared" si="20"/>
        <v>3.5</v>
      </c>
      <c r="L53" s="8">
        <f t="shared" si="20"/>
        <v>4</v>
      </c>
      <c r="M53" s="8">
        <f t="shared" si="20"/>
        <v>4.5</v>
      </c>
      <c r="N53" s="8">
        <f t="shared" si="20"/>
        <v>5</v>
      </c>
      <c r="O53" s="8">
        <f t="shared" si="20"/>
        <v>5.5</v>
      </c>
      <c r="P53" s="8">
        <f t="shared" si="20"/>
        <v>6</v>
      </c>
      <c r="Q53" s="8">
        <f t="shared" si="20"/>
        <v>6.5</v>
      </c>
      <c r="R53" s="8">
        <f t="shared" si="20"/>
        <v>7</v>
      </c>
      <c r="S53" s="8">
        <f t="shared" si="20"/>
        <v>7.5</v>
      </c>
      <c r="T53" s="8">
        <f t="shared" si="20"/>
        <v>8</v>
      </c>
      <c r="U53" s="8">
        <f t="shared" si="20"/>
        <v>8.5</v>
      </c>
      <c r="V53" s="8">
        <f t="shared" si="20"/>
        <v>9</v>
      </c>
    </row>
    <row r="55">
      <c r="C55" s="13">
        <f t="array" ref="C55:V55">SEQUENCE(1, 20, -5, 0.5)</f>
        <v>-5</v>
      </c>
      <c r="D55" s="14">
        <v>-4.5</v>
      </c>
      <c r="E55" s="14">
        <v>-4.0</v>
      </c>
      <c r="F55" s="14">
        <v>-3.5</v>
      </c>
      <c r="G55" s="14">
        <v>-3.0</v>
      </c>
      <c r="H55" s="14">
        <v>-2.5</v>
      </c>
      <c r="I55" s="14">
        <v>-2.0</v>
      </c>
      <c r="J55" s="14">
        <v>-1.5</v>
      </c>
      <c r="K55" s="14">
        <v>-1.0</v>
      </c>
      <c r="L55" s="14">
        <v>-0.5</v>
      </c>
      <c r="M55" s="14">
        <v>0.0</v>
      </c>
      <c r="N55" s="14">
        <v>0.5</v>
      </c>
      <c r="O55" s="14">
        <v>1.0</v>
      </c>
      <c r="P55" s="14">
        <v>1.5</v>
      </c>
      <c r="Q55" s="14">
        <v>2.0</v>
      </c>
      <c r="R55" s="14">
        <v>2.5</v>
      </c>
      <c r="S55" s="14">
        <v>3.0</v>
      </c>
      <c r="T55" s="14">
        <v>3.5</v>
      </c>
      <c r="U55" s="14">
        <v>4.0</v>
      </c>
      <c r="V55" s="14">
        <v>4.5</v>
      </c>
    </row>
    <row r="56">
      <c r="B56" s="15" t="s">
        <v>2</v>
      </c>
      <c r="C56" s="16">
        <f t="array" ref="C56:C74">SEQUENCE(19, 1, -4.5, 0.5)</f>
        <v>-4.5</v>
      </c>
      <c r="D56" s="8">
        <f t="shared" ref="D56:V56" si="21">max(0,D35)</f>
        <v>0</v>
      </c>
      <c r="E56" s="8">
        <f t="shared" si="21"/>
        <v>0</v>
      </c>
      <c r="F56" s="8">
        <f t="shared" si="21"/>
        <v>0</v>
      </c>
      <c r="G56" s="8">
        <f t="shared" si="21"/>
        <v>0</v>
      </c>
      <c r="H56" s="8">
        <f t="shared" si="21"/>
        <v>0</v>
      </c>
      <c r="I56" s="8">
        <f t="shared" si="21"/>
        <v>0</v>
      </c>
      <c r="J56" s="8">
        <f t="shared" si="21"/>
        <v>0</v>
      </c>
      <c r="K56" s="8">
        <f t="shared" si="21"/>
        <v>0</v>
      </c>
      <c r="L56" s="8">
        <f t="shared" si="21"/>
        <v>0</v>
      </c>
      <c r="M56" s="8">
        <f t="shared" si="21"/>
        <v>0</v>
      </c>
      <c r="N56" s="8">
        <f t="shared" si="21"/>
        <v>0</v>
      </c>
      <c r="O56" s="8">
        <f t="shared" si="21"/>
        <v>0</v>
      </c>
      <c r="P56" s="8">
        <f t="shared" si="21"/>
        <v>0</v>
      </c>
      <c r="Q56" s="8">
        <f t="shared" si="21"/>
        <v>0</v>
      </c>
      <c r="R56" s="8">
        <f t="shared" si="21"/>
        <v>0</v>
      </c>
      <c r="S56" s="8">
        <f t="shared" si="21"/>
        <v>0</v>
      </c>
      <c r="T56" s="8">
        <f t="shared" si="21"/>
        <v>0</v>
      </c>
      <c r="U56" s="8">
        <f t="shared" si="21"/>
        <v>0</v>
      </c>
      <c r="V56" s="8">
        <f t="shared" si="21"/>
        <v>0</v>
      </c>
    </row>
    <row r="57">
      <c r="C57" s="17">
        <v>-4.0</v>
      </c>
      <c r="D57" s="8">
        <f t="shared" ref="D57:V57" si="22">max(0,D36)</f>
        <v>0</v>
      </c>
      <c r="E57" s="8">
        <f t="shared" si="22"/>
        <v>0</v>
      </c>
      <c r="F57" s="8">
        <f t="shared" si="22"/>
        <v>0</v>
      </c>
      <c r="G57" s="8">
        <f t="shared" si="22"/>
        <v>0</v>
      </c>
      <c r="H57" s="8">
        <f t="shared" si="22"/>
        <v>0</v>
      </c>
      <c r="I57" s="8">
        <f t="shared" si="22"/>
        <v>0</v>
      </c>
      <c r="J57" s="8">
        <f t="shared" si="22"/>
        <v>0</v>
      </c>
      <c r="K57" s="8">
        <f t="shared" si="22"/>
        <v>0</v>
      </c>
      <c r="L57" s="8">
        <f t="shared" si="22"/>
        <v>0</v>
      </c>
      <c r="M57" s="8">
        <f t="shared" si="22"/>
        <v>0</v>
      </c>
      <c r="N57" s="8">
        <f t="shared" si="22"/>
        <v>0</v>
      </c>
      <c r="O57" s="8">
        <f t="shared" si="22"/>
        <v>0</v>
      </c>
      <c r="P57" s="8">
        <f t="shared" si="22"/>
        <v>0</v>
      </c>
      <c r="Q57" s="8">
        <f t="shared" si="22"/>
        <v>0</v>
      </c>
      <c r="R57" s="8">
        <f t="shared" si="22"/>
        <v>0</v>
      </c>
      <c r="S57" s="8">
        <f t="shared" si="22"/>
        <v>0</v>
      </c>
      <c r="T57" s="8">
        <f t="shared" si="22"/>
        <v>0</v>
      </c>
      <c r="U57" s="8">
        <f t="shared" si="22"/>
        <v>0</v>
      </c>
      <c r="V57" s="8">
        <f t="shared" si="22"/>
        <v>0.5</v>
      </c>
    </row>
    <row r="58">
      <c r="C58" s="17">
        <v>-3.5</v>
      </c>
      <c r="D58" s="8">
        <f t="shared" ref="D58:V58" si="23">max(0,D37)</f>
        <v>0</v>
      </c>
      <c r="E58" s="8">
        <f t="shared" si="23"/>
        <v>0</v>
      </c>
      <c r="F58" s="8">
        <f t="shared" si="23"/>
        <v>0</v>
      </c>
      <c r="G58" s="8">
        <f t="shared" si="23"/>
        <v>0</v>
      </c>
      <c r="H58" s="8">
        <f t="shared" si="23"/>
        <v>0</v>
      </c>
      <c r="I58" s="8">
        <f t="shared" si="23"/>
        <v>0</v>
      </c>
      <c r="J58" s="8">
        <f t="shared" si="23"/>
        <v>0</v>
      </c>
      <c r="K58" s="8">
        <f t="shared" si="23"/>
        <v>0</v>
      </c>
      <c r="L58" s="8">
        <f t="shared" si="23"/>
        <v>0</v>
      </c>
      <c r="M58" s="8">
        <f t="shared" si="23"/>
        <v>0</v>
      </c>
      <c r="N58" s="8">
        <f t="shared" si="23"/>
        <v>0</v>
      </c>
      <c r="O58" s="8">
        <f t="shared" si="23"/>
        <v>0</v>
      </c>
      <c r="P58" s="8">
        <f t="shared" si="23"/>
        <v>0</v>
      </c>
      <c r="Q58" s="8">
        <f t="shared" si="23"/>
        <v>0</v>
      </c>
      <c r="R58" s="8">
        <f t="shared" si="23"/>
        <v>0</v>
      </c>
      <c r="S58" s="8">
        <f t="shared" si="23"/>
        <v>0</v>
      </c>
      <c r="T58" s="8">
        <f t="shared" si="23"/>
        <v>0</v>
      </c>
      <c r="U58" s="8">
        <f t="shared" si="23"/>
        <v>0.5</v>
      </c>
      <c r="V58" s="8">
        <f t="shared" si="23"/>
        <v>1</v>
      </c>
    </row>
    <row r="59">
      <c r="C59" s="17">
        <v>-3.0</v>
      </c>
      <c r="D59" s="8">
        <f t="shared" ref="D59:V59" si="24">max(0,D38)</f>
        <v>0</v>
      </c>
      <c r="E59" s="8">
        <f t="shared" si="24"/>
        <v>0</v>
      </c>
      <c r="F59" s="8">
        <f t="shared" si="24"/>
        <v>0</v>
      </c>
      <c r="G59" s="8">
        <f t="shared" si="24"/>
        <v>0</v>
      </c>
      <c r="H59" s="8">
        <f t="shared" si="24"/>
        <v>0</v>
      </c>
      <c r="I59" s="8">
        <f t="shared" si="24"/>
        <v>0</v>
      </c>
      <c r="J59" s="8">
        <f t="shared" si="24"/>
        <v>0</v>
      </c>
      <c r="K59" s="8">
        <f t="shared" si="24"/>
        <v>0</v>
      </c>
      <c r="L59" s="8">
        <f t="shared" si="24"/>
        <v>0</v>
      </c>
      <c r="M59" s="8">
        <f t="shared" si="24"/>
        <v>0</v>
      </c>
      <c r="N59" s="8">
        <f t="shared" si="24"/>
        <v>0</v>
      </c>
      <c r="O59" s="8">
        <f t="shared" si="24"/>
        <v>0</v>
      </c>
      <c r="P59" s="8">
        <f t="shared" si="24"/>
        <v>0</v>
      </c>
      <c r="Q59" s="8">
        <f t="shared" si="24"/>
        <v>0</v>
      </c>
      <c r="R59" s="8">
        <f t="shared" si="24"/>
        <v>0</v>
      </c>
      <c r="S59" s="8">
        <f t="shared" si="24"/>
        <v>0</v>
      </c>
      <c r="T59" s="8">
        <f t="shared" si="24"/>
        <v>0.5</v>
      </c>
      <c r="U59" s="8">
        <f t="shared" si="24"/>
        <v>1</v>
      </c>
      <c r="V59" s="8">
        <f t="shared" si="24"/>
        <v>1.5</v>
      </c>
    </row>
    <row r="60">
      <c r="C60" s="17">
        <v>-2.5</v>
      </c>
      <c r="D60" s="8">
        <f t="shared" ref="D60:V60" si="25">max(0,D39)</f>
        <v>0</v>
      </c>
      <c r="E60" s="8">
        <f t="shared" si="25"/>
        <v>0</v>
      </c>
      <c r="F60" s="8">
        <f t="shared" si="25"/>
        <v>0</v>
      </c>
      <c r="G60" s="8">
        <f t="shared" si="25"/>
        <v>0</v>
      </c>
      <c r="H60" s="8">
        <f t="shared" si="25"/>
        <v>0</v>
      </c>
      <c r="I60" s="8">
        <f t="shared" si="25"/>
        <v>0</v>
      </c>
      <c r="J60" s="8">
        <f t="shared" si="25"/>
        <v>0</v>
      </c>
      <c r="K60" s="8">
        <f t="shared" si="25"/>
        <v>0</v>
      </c>
      <c r="L60" s="8">
        <f t="shared" si="25"/>
        <v>0</v>
      </c>
      <c r="M60" s="8">
        <f t="shared" si="25"/>
        <v>0</v>
      </c>
      <c r="N60" s="8">
        <f t="shared" si="25"/>
        <v>0</v>
      </c>
      <c r="O60" s="8">
        <f t="shared" si="25"/>
        <v>0</v>
      </c>
      <c r="P60" s="8">
        <f t="shared" si="25"/>
        <v>0</v>
      </c>
      <c r="Q60" s="8">
        <f t="shared" si="25"/>
        <v>0</v>
      </c>
      <c r="R60" s="8">
        <f t="shared" si="25"/>
        <v>0</v>
      </c>
      <c r="S60" s="8">
        <f t="shared" si="25"/>
        <v>0.5</v>
      </c>
      <c r="T60" s="8">
        <f t="shared" si="25"/>
        <v>1</v>
      </c>
      <c r="U60" s="8">
        <f t="shared" si="25"/>
        <v>1.5</v>
      </c>
      <c r="V60" s="8">
        <f t="shared" si="25"/>
        <v>2</v>
      </c>
    </row>
    <row r="61">
      <c r="C61" s="17">
        <v>-2.0</v>
      </c>
      <c r="D61" s="8">
        <f t="shared" ref="D61:V61" si="26">max(0,D40)</f>
        <v>0</v>
      </c>
      <c r="E61" s="8">
        <f t="shared" si="26"/>
        <v>0</v>
      </c>
      <c r="F61" s="8">
        <f t="shared" si="26"/>
        <v>0</v>
      </c>
      <c r="G61" s="8">
        <f t="shared" si="26"/>
        <v>0</v>
      </c>
      <c r="H61" s="8">
        <f t="shared" si="26"/>
        <v>0</v>
      </c>
      <c r="I61" s="8">
        <f t="shared" si="26"/>
        <v>0</v>
      </c>
      <c r="J61" s="8">
        <f t="shared" si="26"/>
        <v>0</v>
      </c>
      <c r="K61" s="8">
        <f t="shared" si="26"/>
        <v>0</v>
      </c>
      <c r="L61" s="8">
        <f t="shared" si="26"/>
        <v>0</v>
      </c>
      <c r="M61" s="8">
        <f t="shared" si="26"/>
        <v>0</v>
      </c>
      <c r="N61" s="8">
        <f t="shared" si="26"/>
        <v>0</v>
      </c>
      <c r="O61" s="8">
        <f t="shared" si="26"/>
        <v>0</v>
      </c>
      <c r="P61" s="8">
        <f t="shared" si="26"/>
        <v>0</v>
      </c>
      <c r="Q61" s="8">
        <f t="shared" si="26"/>
        <v>0</v>
      </c>
      <c r="R61" s="8">
        <f t="shared" si="26"/>
        <v>0.5</v>
      </c>
      <c r="S61" s="8">
        <f t="shared" si="26"/>
        <v>1</v>
      </c>
      <c r="T61" s="8">
        <f t="shared" si="26"/>
        <v>1.5</v>
      </c>
      <c r="U61" s="8">
        <f t="shared" si="26"/>
        <v>2</v>
      </c>
      <c r="V61" s="8">
        <f t="shared" si="26"/>
        <v>2.5</v>
      </c>
    </row>
    <row r="62">
      <c r="C62" s="17">
        <v>-1.5</v>
      </c>
      <c r="D62" s="8">
        <f t="shared" ref="D62:V62" si="27">max(0,D41)</f>
        <v>0</v>
      </c>
      <c r="E62" s="8">
        <f t="shared" si="27"/>
        <v>0</v>
      </c>
      <c r="F62" s="8">
        <f t="shared" si="27"/>
        <v>0</v>
      </c>
      <c r="G62" s="8">
        <f t="shared" si="27"/>
        <v>0</v>
      </c>
      <c r="H62" s="8">
        <f t="shared" si="27"/>
        <v>0</v>
      </c>
      <c r="I62" s="8">
        <f t="shared" si="27"/>
        <v>0</v>
      </c>
      <c r="J62" s="8">
        <f t="shared" si="27"/>
        <v>0</v>
      </c>
      <c r="K62" s="8">
        <f t="shared" si="27"/>
        <v>0</v>
      </c>
      <c r="L62" s="8">
        <f t="shared" si="27"/>
        <v>0</v>
      </c>
      <c r="M62" s="8">
        <f t="shared" si="27"/>
        <v>0</v>
      </c>
      <c r="N62" s="8">
        <f t="shared" si="27"/>
        <v>0</v>
      </c>
      <c r="O62" s="8">
        <f t="shared" si="27"/>
        <v>0</v>
      </c>
      <c r="P62" s="8">
        <f t="shared" si="27"/>
        <v>0</v>
      </c>
      <c r="Q62" s="8">
        <f t="shared" si="27"/>
        <v>0.5</v>
      </c>
      <c r="R62" s="8">
        <f t="shared" si="27"/>
        <v>1</v>
      </c>
      <c r="S62" s="8">
        <f t="shared" si="27"/>
        <v>1.5</v>
      </c>
      <c r="T62" s="8">
        <f t="shared" si="27"/>
        <v>2</v>
      </c>
      <c r="U62" s="8">
        <f t="shared" si="27"/>
        <v>2.5</v>
      </c>
      <c r="V62" s="8">
        <f t="shared" si="27"/>
        <v>3</v>
      </c>
    </row>
    <row r="63">
      <c r="C63" s="17">
        <v>-1.0</v>
      </c>
      <c r="D63" s="8">
        <f t="shared" ref="D63:V63" si="28">max(0,D42)</f>
        <v>0</v>
      </c>
      <c r="E63" s="8">
        <f t="shared" si="28"/>
        <v>0</v>
      </c>
      <c r="F63" s="8">
        <f t="shared" si="28"/>
        <v>0</v>
      </c>
      <c r="G63" s="8">
        <f t="shared" si="28"/>
        <v>0</v>
      </c>
      <c r="H63" s="8">
        <f t="shared" si="28"/>
        <v>0</v>
      </c>
      <c r="I63" s="8">
        <f t="shared" si="28"/>
        <v>0</v>
      </c>
      <c r="J63" s="8">
        <f t="shared" si="28"/>
        <v>0</v>
      </c>
      <c r="K63" s="8">
        <f t="shared" si="28"/>
        <v>0</v>
      </c>
      <c r="L63" s="8">
        <f t="shared" si="28"/>
        <v>0</v>
      </c>
      <c r="M63" s="8">
        <f t="shared" si="28"/>
        <v>0</v>
      </c>
      <c r="N63" s="8">
        <f t="shared" si="28"/>
        <v>0</v>
      </c>
      <c r="O63" s="8">
        <f t="shared" si="28"/>
        <v>0</v>
      </c>
      <c r="P63" s="8">
        <f t="shared" si="28"/>
        <v>0.5</v>
      </c>
      <c r="Q63" s="8">
        <f t="shared" si="28"/>
        <v>1</v>
      </c>
      <c r="R63" s="8">
        <f t="shared" si="28"/>
        <v>1.5</v>
      </c>
      <c r="S63" s="8">
        <f t="shared" si="28"/>
        <v>2</v>
      </c>
      <c r="T63" s="8">
        <f t="shared" si="28"/>
        <v>2.5</v>
      </c>
      <c r="U63" s="8">
        <f t="shared" si="28"/>
        <v>3</v>
      </c>
      <c r="V63" s="8">
        <f t="shared" si="28"/>
        <v>3.5</v>
      </c>
    </row>
    <row r="64">
      <c r="C64" s="17">
        <v>-0.5</v>
      </c>
      <c r="D64" s="8">
        <f t="shared" ref="D64:V64" si="29">max(0,D43)</f>
        <v>0</v>
      </c>
      <c r="E64" s="8">
        <f t="shared" si="29"/>
        <v>0</v>
      </c>
      <c r="F64" s="8">
        <f t="shared" si="29"/>
        <v>0</v>
      </c>
      <c r="G64" s="8">
        <f t="shared" si="29"/>
        <v>0</v>
      </c>
      <c r="H64" s="8">
        <f t="shared" si="29"/>
        <v>0</v>
      </c>
      <c r="I64" s="8">
        <f t="shared" si="29"/>
        <v>0</v>
      </c>
      <c r="J64" s="8">
        <f t="shared" si="29"/>
        <v>0</v>
      </c>
      <c r="K64" s="8">
        <f t="shared" si="29"/>
        <v>0</v>
      </c>
      <c r="L64" s="8">
        <f t="shared" si="29"/>
        <v>0</v>
      </c>
      <c r="M64" s="8">
        <f t="shared" si="29"/>
        <v>0</v>
      </c>
      <c r="N64" s="8">
        <f t="shared" si="29"/>
        <v>0</v>
      </c>
      <c r="O64" s="8">
        <f t="shared" si="29"/>
        <v>0.5</v>
      </c>
      <c r="P64" s="8">
        <f t="shared" si="29"/>
        <v>1</v>
      </c>
      <c r="Q64" s="8">
        <f t="shared" si="29"/>
        <v>1.5</v>
      </c>
      <c r="R64" s="8">
        <f t="shared" si="29"/>
        <v>2</v>
      </c>
      <c r="S64" s="8">
        <f t="shared" si="29"/>
        <v>2.5</v>
      </c>
      <c r="T64" s="8">
        <f t="shared" si="29"/>
        <v>3</v>
      </c>
      <c r="U64" s="8">
        <f t="shared" si="29"/>
        <v>3.5</v>
      </c>
      <c r="V64" s="8">
        <f t="shared" si="29"/>
        <v>4</v>
      </c>
    </row>
    <row r="65">
      <c r="C65" s="17">
        <v>0.0</v>
      </c>
      <c r="D65" s="8">
        <f t="shared" ref="D65:V65" si="30">max(0,D44)</f>
        <v>0</v>
      </c>
      <c r="E65" s="8">
        <f t="shared" si="30"/>
        <v>0</v>
      </c>
      <c r="F65" s="8">
        <f t="shared" si="30"/>
        <v>0</v>
      </c>
      <c r="G65" s="8">
        <f t="shared" si="30"/>
        <v>0</v>
      </c>
      <c r="H65" s="8">
        <f t="shared" si="30"/>
        <v>0</v>
      </c>
      <c r="I65" s="8">
        <f t="shared" si="30"/>
        <v>0</v>
      </c>
      <c r="J65" s="8">
        <f t="shared" si="30"/>
        <v>0</v>
      </c>
      <c r="K65" s="8">
        <f t="shared" si="30"/>
        <v>0</v>
      </c>
      <c r="L65" s="8">
        <f t="shared" si="30"/>
        <v>0</v>
      </c>
      <c r="M65" s="8">
        <f t="shared" si="30"/>
        <v>0</v>
      </c>
      <c r="N65" s="8">
        <f t="shared" si="30"/>
        <v>0.5</v>
      </c>
      <c r="O65" s="8">
        <f t="shared" si="30"/>
        <v>1</v>
      </c>
      <c r="P65" s="8">
        <f t="shared" si="30"/>
        <v>1.5</v>
      </c>
      <c r="Q65" s="8">
        <f t="shared" si="30"/>
        <v>2</v>
      </c>
      <c r="R65" s="8">
        <f t="shared" si="30"/>
        <v>2.5</v>
      </c>
      <c r="S65" s="8">
        <f t="shared" si="30"/>
        <v>3</v>
      </c>
      <c r="T65" s="8">
        <f t="shared" si="30"/>
        <v>3.5</v>
      </c>
      <c r="U65" s="8">
        <f t="shared" si="30"/>
        <v>4</v>
      </c>
      <c r="V65" s="8">
        <f t="shared" si="30"/>
        <v>4.5</v>
      </c>
    </row>
    <row r="66">
      <c r="C66" s="17">
        <v>0.5</v>
      </c>
      <c r="D66" s="8">
        <f t="shared" ref="D66:V66" si="31">max(0,D45)</f>
        <v>0</v>
      </c>
      <c r="E66" s="8">
        <f t="shared" si="31"/>
        <v>0</v>
      </c>
      <c r="F66" s="8">
        <f t="shared" si="31"/>
        <v>0</v>
      </c>
      <c r="G66" s="8">
        <f t="shared" si="31"/>
        <v>0</v>
      </c>
      <c r="H66" s="8">
        <f t="shared" si="31"/>
        <v>0</v>
      </c>
      <c r="I66" s="8">
        <f t="shared" si="31"/>
        <v>0</v>
      </c>
      <c r="J66" s="8">
        <f t="shared" si="31"/>
        <v>0</v>
      </c>
      <c r="K66" s="8">
        <f t="shared" si="31"/>
        <v>0</v>
      </c>
      <c r="L66" s="8">
        <f t="shared" si="31"/>
        <v>0</v>
      </c>
      <c r="M66" s="8">
        <f t="shared" si="31"/>
        <v>0.5</v>
      </c>
      <c r="N66" s="8">
        <f t="shared" si="31"/>
        <v>1</v>
      </c>
      <c r="O66" s="8">
        <f t="shared" si="31"/>
        <v>1.5</v>
      </c>
      <c r="P66" s="8">
        <f t="shared" si="31"/>
        <v>2</v>
      </c>
      <c r="Q66" s="8">
        <f t="shared" si="31"/>
        <v>2.5</v>
      </c>
      <c r="R66" s="8">
        <f t="shared" si="31"/>
        <v>3</v>
      </c>
      <c r="S66" s="8">
        <f t="shared" si="31"/>
        <v>3.5</v>
      </c>
      <c r="T66" s="8">
        <f t="shared" si="31"/>
        <v>4</v>
      </c>
      <c r="U66" s="8">
        <f t="shared" si="31"/>
        <v>4.5</v>
      </c>
      <c r="V66" s="8">
        <f t="shared" si="31"/>
        <v>5</v>
      </c>
    </row>
    <row r="67">
      <c r="C67" s="17">
        <v>1.0</v>
      </c>
      <c r="D67" s="8">
        <f t="shared" ref="D67:V67" si="32">max(0,D46)</f>
        <v>0</v>
      </c>
      <c r="E67" s="8">
        <f t="shared" si="32"/>
        <v>0</v>
      </c>
      <c r="F67" s="8">
        <f t="shared" si="32"/>
        <v>0</v>
      </c>
      <c r="G67" s="8">
        <f t="shared" si="32"/>
        <v>0</v>
      </c>
      <c r="H67" s="8">
        <f t="shared" si="32"/>
        <v>0</v>
      </c>
      <c r="I67" s="8">
        <f t="shared" si="32"/>
        <v>0</v>
      </c>
      <c r="J67" s="8">
        <f t="shared" si="32"/>
        <v>0</v>
      </c>
      <c r="K67" s="8">
        <f t="shared" si="32"/>
        <v>0</v>
      </c>
      <c r="L67" s="8">
        <f t="shared" si="32"/>
        <v>0.5</v>
      </c>
      <c r="M67" s="8">
        <f t="shared" si="32"/>
        <v>1</v>
      </c>
      <c r="N67" s="8">
        <f t="shared" si="32"/>
        <v>1.5</v>
      </c>
      <c r="O67" s="8">
        <f t="shared" si="32"/>
        <v>2</v>
      </c>
      <c r="P67" s="8">
        <f t="shared" si="32"/>
        <v>2.5</v>
      </c>
      <c r="Q67" s="8">
        <f t="shared" si="32"/>
        <v>3</v>
      </c>
      <c r="R67" s="8">
        <f t="shared" si="32"/>
        <v>3.5</v>
      </c>
      <c r="S67" s="8">
        <f t="shared" si="32"/>
        <v>4</v>
      </c>
      <c r="T67" s="8">
        <f t="shared" si="32"/>
        <v>4.5</v>
      </c>
      <c r="U67" s="8">
        <f t="shared" si="32"/>
        <v>5</v>
      </c>
      <c r="V67" s="8">
        <f t="shared" si="32"/>
        <v>5.5</v>
      </c>
    </row>
    <row r="68">
      <c r="C68" s="17">
        <v>1.5</v>
      </c>
      <c r="D68" s="8">
        <f t="shared" ref="D68:V68" si="33">max(0,D47)</f>
        <v>0</v>
      </c>
      <c r="E68" s="8">
        <f t="shared" si="33"/>
        <v>0</v>
      </c>
      <c r="F68" s="8">
        <f t="shared" si="33"/>
        <v>0</v>
      </c>
      <c r="G68" s="8">
        <f t="shared" si="33"/>
        <v>0</v>
      </c>
      <c r="H68" s="8">
        <f t="shared" si="33"/>
        <v>0</v>
      </c>
      <c r="I68" s="8">
        <f t="shared" si="33"/>
        <v>0</v>
      </c>
      <c r="J68" s="8">
        <f t="shared" si="33"/>
        <v>0</v>
      </c>
      <c r="K68" s="8">
        <f t="shared" si="33"/>
        <v>0.5</v>
      </c>
      <c r="L68" s="8">
        <f t="shared" si="33"/>
        <v>1</v>
      </c>
      <c r="M68" s="8">
        <f t="shared" si="33"/>
        <v>1.5</v>
      </c>
      <c r="N68" s="8">
        <f t="shared" si="33"/>
        <v>2</v>
      </c>
      <c r="O68" s="8">
        <f t="shared" si="33"/>
        <v>2.5</v>
      </c>
      <c r="P68" s="8">
        <f t="shared" si="33"/>
        <v>3</v>
      </c>
      <c r="Q68" s="8">
        <f t="shared" si="33"/>
        <v>3.5</v>
      </c>
      <c r="R68" s="8">
        <f t="shared" si="33"/>
        <v>4</v>
      </c>
      <c r="S68" s="8">
        <f t="shared" si="33"/>
        <v>4.5</v>
      </c>
      <c r="T68" s="8">
        <f t="shared" si="33"/>
        <v>5</v>
      </c>
      <c r="U68" s="8">
        <f t="shared" si="33"/>
        <v>5.5</v>
      </c>
      <c r="V68" s="8">
        <f t="shared" si="33"/>
        <v>6</v>
      </c>
    </row>
    <row r="69">
      <c r="C69" s="17">
        <v>2.0</v>
      </c>
      <c r="D69" s="8">
        <f t="shared" ref="D69:V69" si="34">max(0,D48)</f>
        <v>0</v>
      </c>
      <c r="E69" s="8">
        <f t="shared" si="34"/>
        <v>0</v>
      </c>
      <c r="F69" s="8">
        <f t="shared" si="34"/>
        <v>0</v>
      </c>
      <c r="G69" s="8">
        <f t="shared" si="34"/>
        <v>0</v>
      </c>
      <c r="H69" s="8">
        <f t="shared" si="34"/>
        <v>0</v>
      </c>
      <c r="I69" s="8">
        <f t="shared" si="34"/>
        <v>0</v>
      </c>
      <c r="J69" s="8">
        <f t="shared" si="34"/>
        <v>0.5</v>
      </c>
      <c r="K69" s="8">
        <f t="shared" si="34"/>
        <v>1</v>
      </c>
      <c r="L69" s="8">
        <f t="shared" si="34"/>
        <v>1.5</v>
      </c>
      <c r="M69" s="8">
        <f t="shared" si="34"/>
        <v>2</v>
      </c>
      <c r="N69" s="8">
        <f t="shared" si="34"/>
        <v>2.5</v>
      </c>
      <c r="O69" s="8">
        <f t="shared" si="34"/>
        <v>3</v>
      </c>
      <c r="P69" s="8">
        <f t="shared" si="34"/>
        <v>3.5</v>
      </c>
      <c r="Q69" s="8">
        <f t="shared" si="34"/>
        <v>4</v>
      </c>
      <c r="R69" s="8">
        <f t="shared" si="34"/>
        <v>4.5</v>
      </c>
      <c r="S69" s="8">
        <f t="shared" si="34"/>
        <v>5</v>
      </c>
      <c r="T69" s="8">
        <f t="shared" si="34"/>
        <v>5.5</v>
      </c>
      <c r="U69" s="8">
        <f t="shared" si="34"/>
        <v>6</v>
      </c>
      <c r="V69" s="8">
        <f t="shared" si="34"/>
        <v>6.5</v>
      </c>
    </row>
    <row r="70">
      <c r="C70" s="17">
        <v>2.5</v>
      </c>
      <c r="D70" s="8">
        <f t="shared" ref="D70:V70" si="35">max(0,D49)</f>
        <v>0</v>
      </c>
      <c r="E70" s="8">
        <f t="shared" si="35"/>
        <v>0</v>
      </c>
      <c r="F70" s="8">
        <f t="shared" si="35"/>
        <v>0</v>
      </c>
      <c r="G70" s="8">
        <f t="shared" si="35"/>
        <v>0</v>
      </c>
      <c r="H70" s="8">
        <f t="shared" si="35"/>
        <v>0</v>
      </c>
      <c r="I70" s="8">
        <f t="shared" si="35"/>
        <v>0.5</v>
      </c>
      <c r="J70" s="8">
        <f t="shared" si="35"/>
        <v>1</v>
      </c>
      <c r="K70" s="8">
        <f t="shared" si="35"/>
        <v>1.5</v>
      </c>
      <c r="L70" s="8">
        <f t="shared" si="35"/>
        <v>2</v>
      </c>
      <c r="M70" s="8">
        <f t="shared" si="35"/>
        <v>2.5</v>
      </c>
      <c r="N70" s="8">
        <f t="shared" si="35"/>
        <v>3</v>
      </c>
      <c r="O70" s="8">
        <f t="shared" si="35"/>
        <v>3.5</v>
      </c>
      <c r="P70" s="8">
        <f t="shared" si="35"/>
        <v>4</v>
      </c>
      <c r="Q70" s="8">
        <f t="shared" si="35"/>
        <v>4.5</v>
      </c>
      <c r="R70" s="8">
        <f t="shared" si="35"/>
        <v>5</v>
      </c>
      <c r="S70" s="8">
        <f t="shared" si="35"/>
        <v>5.5</v>
      </c>
      <c r="T70" s="8">
        <f t="shared" si="35"/>
        <v>6</v>
      </c>
      <c r="U70" s="8">
        <f t="shared" si="35"/>
        <v>6.5</v>
      </c>
      <c r="V70" s="8">
        <f t="shared" si="35"/>
        <v>7</v>
      </c>
    </row>
    <row r="71">
      <c r="C71" s="17">
        <v>3.0</v>
      </c>
      <c r="D71" s="8">
        <f t="shared" ref="D71:V71" si="36">max(0,D50)</f>
        <v>0</v>
      </c>
      <c r="E71" s="8">
        <f t="shared" si="36"/>
        <v>0</v>
      </c>
      <c r="F71" s="8">
        <f t="shared" si="36"/>
        <v>0</v>
      </c>
      <c r="G71" s="8">
        <f t="shared" si="36"/>
        <v>0</v>
      </c>
      <c r="H71" s="8">
        <f t="shared" si="36"/>
        <v>0.5</v>
      </c>
      <c r="I71" s="8">
        <f t="shared" si="36"/>
        <v>1</v>
      </c>
      <c r="J71" s="8">
        <f t="shared" si="36"/>
        <v>1.5</v>
      </c>
      <c r="K71" s="8">
        <f t="shared" si="36"/>
        <v>2</v>
      </c>
      <c r="L71" s="8">
        <f t="shared" si="36"/>
        <v>2.5</v>
      </c>
      <c r="M71" s="8">
        <f t="shared" si="36"/>
        <v>3</v>
      </c>
      <c r="N71" s="8">
        <f t="shared" si="36"/>
        <v>3.5</v>
      </c>
      <c r="O71" s="8">
        <f t="shared" si="36"/>
        <v>4</v>
      </c>
      <c r="P71" s="8">
        <f t="shared" si="36"/>
        <v>4.5</v>
      </c>
      <c r="Q71" s="8">
        <f t="shared" si="36"/>
        <v>5</v>
      </c>
      <c r="R71" s="8">
        <f t="shared" si="36"/>
        <v>5.5</v>
      </c>
      <c r="S71" s="8">
        <f t="shared" si="36"/>
        <v>6</v>
      </c>
      <c r="T71" s="8">
        <f t="shared" si="36"/>
        <v>6.5</v>
      </c>
      <c r="U71" s="8">
        <f t="shared" si="36"/>
        <v>7</v>
      </c>
      <c r="V71" s="8">
        <f t="shared" si="36"/>
        <v>7.5</v>
      </c>
    </row>
    <row r="72">
      <c r="C72" s="17">
        <v>3.5</v>
      </c>
      <c r="D72" s="8">
        <f t="shared" ref="D72:V72" si="37">max(0,D51)</f>
        <v>0</v>
      </c>
      <c r="E72" s="8">
        <f t="shared" si="37"/>
        <v>0</v>
      </c>
      <c r="F72" s="8">
        <f t="shared" si="37"/>
        <v>0</v>
      </c>
      <c r="G72" s="8">
        <f t="shared" si="37"/>
        <v>0.5</v>
      </c>
      <c r="H72" s="8">
        <f t="shared" si="37"/>
        <v>1</v>
      </c>
      <c r="I72" s="8">
        <f t="shared" si="37"/>
        <v>1.5</v>
      </c>
      <c r="J72" s="8">
        <f t="shared" si="37"/>
        <v>2</v>
      </c>
      <c r="K72" s="8">
        <f t="shared" si="37"/>
        <v>2.5</v>
      </c>
      <c r="L72" s="8">
        <f t="shared" si="37"/>
        <v>3</v>
      </c>
      <c r="M72" s="8">
        <f t="shared" si="37"/>
        <v>3.5</v>
      </c>
      <c r="N72" s="8">
        <f t="shared" si="37"/>
        <v>4</v>
      </c>
      <c r="O72" s="8">
        <f t="shared" si="37"/>
        <v>4.5</v>
      </c>
      <c r="P72" s="8">
        <f t="shared" si="37"/>
        <v>5</v>
      </c>
      <c r="Q72" s="8">
        <f t="shared" si="37"/>
        <v>5.5</v>
      </c>
      <c r="R72" s="8">
        <f t="shared" si="37"/>
        <v>6</v>
      </c>
      <c r="S72" s="8">
        <f t="shared" si="37"/>
        <v>6.5</v>
      </c>
      <c r="T72" s="8">
        <f t="shared" si="37"/>
        <v>7</v>
      </c>
      <c r="U72" s="8">
        <f t="shared" si="37"/>
        <v>7.5</v>
      </c>
      <c r="V72" s="8">
        <f t="shared" si="37"/>
        <v>8</v>
      </c>
    </row>
    <row r="73">
      <c r="C73" s="17">
        <v>4.0</v>
      </c>
      <c r="D73" s="8">
        <f t="shared" ref="D73:V73" si="38">max(0,D52)</f>
        <v>0</v>
      </c>
      <c r="E73" s="8">
        <f t="shared" si="38"/>
        <v>0</v>
      </c>
      <c r="F73" s="8">
        <f t="shared" si="38"/>
        <v>0.5</v>
      </c>
      <c r="G73" s="8">
        <f t="shared" si="38"/>
        <v>1</v>
      </c>
      <c r="H73" s="8">
        <f t="shared" si="38"/>
        <v>1.5</v>
      </c>
      <c r="I73" s="8">
        <f t="shared" si="38"/>
        <v>2</v>
      </c>
      <c r="J73" s="8">
        <f t="shared" si="38"/>
        <v>2.5</v>
      </c>
      <c r="K73" s="8">
        <f t="shared" si="38"/>
        <v>3</v>
      </c>
      <c r="L73" s="8">
        <f t="shared" si="38"/>
        <v>3.5</v>
      </c>
      <c r="M73" s="8">
        <f t="shared" si="38"/>
        <v>4</v>
      </c>
      <c r="N73" s="8">
        <f t="shared" si="38"/>
        <v>4.5</v>
      </c>
      <c r="O73" s="8">
        <f t="shared" si="38"/>
        <v>5</v>
      </c>
      <c r="P73" s="8">
        <f t="shared" si="38"/>
        <v>5.5</v>
      </c>
      <c r="Q73" s="8">
        <f t="shared" si="38"/>
        <v>6</v>
      </c>
      <c r="R73" s="8">
        <f t="shared" si="38"/>
        <v>6.5</v>
      </c>
      <c r="S73" s="8">
        <f t="shared" si="38"/>
        <v>7</v>
      </c>
      <c r="T73" s="8">
        <f t="shared" si="38"/>
        <v>7.5</v>
      </c>
      <c r="U73" s="8">
        <f t="shared" si="38"/>
        <v>8</v>
      </c>
      <c r="V73" s="8">
        <f t="shared" si="38"/>
        <v>8.5</v>
      </c>
    </row>
    <row r="74">
      <c r="C74" s="17">
        <v>4.5</v>
      </c>
      <c r="D74" s="8">
        <f t="shared" ref="D74:V74" si="39">max(0,D53)</f>
        <v>0</v>
      </c>
      <c r="E74" s="8">
        <f t="shared" si="39"/>
        <v>0.5</v>
      </c>
      <c r="F74" s="8">
        <f t="shared" si="39"/>
        <v>1</v>
      </c>
      <c r="G74" s="8">
        <f t="shared" si="39"/>
        <v>1.5</v>
      </c>
      <c r="H74" s="8">
        <f t="shared" si="39"/>
        <v>2</v>
      </c>
      <c r="I74" s="8">
        <f t="shared" si="39"/>
        <v>2.5</v>
      </c>
      <c r="J74" s="8">
        <f t="shared" si="39"/>
        <v>3</v>
      </c>
      <c r="K74" s="8">
        <f t="shared" si="39"/>
        <v>3.5</v>
      </c>
      <c r="L74" s="8">
        <f t="shared" si="39"/>
        <v>4</v>
      </c>
      <c r="M74" s="8">
        <f t="shared" si="39"/>
        <v>4.5</v>
      </c>
      <c r="N74" s="8">
        <f t="shared" si="39"/>
        <v>5</v>
      </c>
      <c r="O74" s="8">
        <f t="shared" si="39"/>
        <v>5.5</v>
      </c>
      <c r="P74" s="8">
        <f t="shared" si="39"/>
        <v>6</v>
      </c>
      <c r="Q74" s="8">
        <f t="shared" si="39"/>
        <v>6.5</v>
      </c>
      <c r="R74" s="8">
        <f t="shared" si="39"/>
        <v>7</v>
      </c>
      <c r="S74" s="8">
        <f t="shared" si="39"/>
        <v>7.5</v>
      </c>
      <c r="T74" s="8">
        <f t="shared" si="39"/>
        <v>8</v>
      </c>
      <c r="U74" s="8">
        <f t="shared" si="39"/>
        <v>8.5</v>
      </c>
      <c r="V74" s="8">
        <f t="shared" si="39"/>
        <v>9</v>
      </c>
    </row>
    <row r="88">
      <c r="A88" s="1" t="s">
        <v>7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91">
      <c r="Q91" s="18"/>
    </row>
    <row r="93">
      <c r="B93" s="2" t="s">
        <v>1</v>
      </c>
      <c r="C93" s="19">
        <f t="array" ref="C93:V93">SEQUENCE(1, 20, -5, 0.5)</f>
        <v>-5</v>
      </c>
      <c r="D93" s="20">
        <v>-4.5</v>
      </c>
      <c r="E93" s="20">
        <v>-4.0</v>
      </c>
      <c r="F93" s="20">
        <v>-3.5</v>
      </c>
      <c r="G93" s="20">
        <v>-3.0</v>
      </c>
      <c r="H93" s="20">
        <v>-2.5</v>
      </c>
      <c r="I93" s="20">
        <v>-2.0</v>
      </c>
      <c r="J93" s="20">
        <v>-1.5</v>
      </c>
      <c r="K93" s="20">
        <v>-1.0</v>
      </c>
      <c r="L93" s="20">
        <v>-0.5</v>
      </c>
      <c r="M93" s="20">
        <v>0.0</v>
      </c>
      <c r="N93" s="20">
        <v>0.5</v>
      </c>
      <c r="O93" s="20">
        <v>1.0</v>
      </c>
      <c r="P93" s="20">
        <v>1.5</v>
      </c>
      <c r="Q93" s="20">
        <v>2.0</v>
      </c>
      <c r="R93" s="20">
        <v>2.5</v>
      </c>
      <c r="S93" s="20">
        <v>3.0</v>
      </c>
      <c r="T93" s="20">
        <v>3.5</v>
      </c>
      <c r="U93" s="20">
        <v>4.0</v>
      </c>
      <c r="V93" s="20">
        <v>4.5</v>
      </c>
    </row>
    <row r="94">
      <c r="B94" s="4" t="s">
        <v>2</v>
      </c>
      <c r="C94" s="8">
        <f t="shared" ref="C94:V94" si="40">max(0, C93)</f>
        <v>0</v>
      </c>
      <c r="D94" s="8">
        <f t="shared" si="40"/>
        <v>0</v>
      </c>
      <c r="E94" s="8">
        <f t="shared" si="40"/>
        <v>0</v>
      </c>
      <c r="F94" s="8">
        <f t="shared" si="40"/>
        <v>0</v>
      </c>
      <c r="G94" s="8">
        <f t="shared" si="40"/>
        <v>0</v>
      </c>
      <c r="H94" s="8">
        <f t="shared" si="40"/>
        <v>0</v>
      </c>
      <c r="I94" s="8">
        <f t="shared" si="40"/>
        <v>0</v>
      </c>
      <c r="J94" s="8">
        <f t="shared" si="40"/>
        <v>0</v>
      </c>
      <c r="K94" s="8">
        <f t="shared" si="40"/>
        <v>0</v>
      </c>
      <c r="L94" s="8">
        <f t="shared" si="40"/>
        <v>0</v>
      </c>
      <c r="M94" s="8">
        <f t="shared" si="40"/>
        <v>0</v>
      </c>
      <c r="N94" s="8">
        <f t="shared" si="40"/>
        <v>0.5</v>
      </c>
      <c r="O94" s="8">
        <f t="shared" si="40"/>
        <v>1</v>
      </c>
      <c r="P94" s="8">
        <f t="shared" si="40"/>
        <v>1.5</v>
      </c>
      <c r="Q94" s="8">
        <f t="shared" si="40"/>
        <v>2</v>
      </c>
      <c r="R94" s="8">
        <f t="shared" si="40"/>
        <v>2.5</v>
      </c>
      <c r="S94" s="8">
        <f t="shared" si="40"/>
        <v>3</v>
      </c>
      <c r="T94" s="8">
        <f t="shared" si="40"/>
        <v>3.5</v>
      </c>
      <c r="U94" s="8">
        <f t="shared" si="40"/>
        <v>4</v>
      </c>
      <c r="V94" s="8">
        <f t="shared" si="40"/>
        <v>4.5</v>
      </c>
    </row>
    <row r="95">
      <c r="B95" s="9" t="s">
        <v>8</v>
      </c>
      <c r="C95" s="8">
        <f t="shared" ref="C95:V95" si="41">max(0, C94)^2</f>
        <v>0</v>
      </c>
      <c r="D95" s="8">
        <f t="shared" si="41"/>
        <v>0</v>
      </c>
      <c r="E95" s="8">
        <f t="shared" si="41"/>
        <v>0</v>
      </c>
      <c r="F95" s="8">
        <f t="shared" si="41"/>
        <v>0</v>
      </c>
      <c r="G95" s="8">
        <f t="shared" si="41"/>
        <v>0</v>
      </c>
      <c r="H95" s="8">
        <f t="shared" si="41"/>
        <v>0</v>
      </c>
      <c r="I95" s="8">
        <f t="shared" si="41"/>
        <v>0</v>
      </c>
      <c r="J95" s="8">
        <f t="shared" si="41"/>
        <v>0</v>
      </c>
      <c r="K95" s="8">
        <f t="shared" si="41"/>
        <v>0</v>
      </c>
      <c r="L95" s="8">
        <f t="shared" si="41"/>
        <v>0</v>
      </c>
      <c r="M95" s="8">
        <f t="shared" si="41"/>
        <v>0</v>
      </c>
      <c r="N95" s="8">
        <f t="shared" si="41"/>
        <v>0.25</v>
      </c>
      <c r="O95" s="8">
        <f t="shared" si="41"/>
        <v>1</v>
      </c>
      <c r="P95" s="8">
        <f t="shared" si="41"/>
        <v>2.25</v>
      </c>
      <c r="Q95" s="8">
        <f t="shared" si="41"/>
        <v>4</v>
      </c>
      <c r="R95" s="8">
        <f t="shared" si="41"/>
        <v>6.25</v>
      </c>
      <c r="S95" s="8">
        <f t="shared" si="41"/>
        <v>9</v>
      </c>
      <c r="T95" s="8">
        <f t="shared" si="41"/>
        <v>12.25</v>
      </c>
      <c r="U95" s="8">
        <f t="shared" si="41"/>
        <v>16</v>
      </c>
      <c r="V95" s="8">
        <f t="shared" si="41"/>
        <v>20.25</v>
      </c>
    </row>
    <row r="96">
      <c r="B96" s="15" t="s">
        <v>3</v>
      </c>
    </row>
    <row r="117">
      <c r="A117" s="1" t="s">
        <v>9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21">
      <c r="B121" s="2" t="s">
        <v>10</v>
      </c>
      <c r="C121" s="28">
        <v>0.2</v>
      </c>
    </row>
    <row r="123">
      <c r="B123" s="2" t="s">
        <v>1</v>
      </c>
      <c r="C123" s="19">
        <f t="array" ref="C123:V123">SEQUENCE(1, 20, -5, 0.5)</f>
        <v>-5</v>
      </c>
      <c r="D123" s="20">
        <v>-4.5</v>
      </c>
      <c r="E123" s="20">
        <v>-4.0</v>
      </c>
      <c r="F123" s="20">
        <v>-3.5</v>
      </c>
      <c r="G123" s="20">
        <v>-3.0</v>
      </c>
      <c r="H123" s="20">
        <v>-2.5</v>
      </c>
      <c r="I123" s="20">
        <v>-2.0</v>
      </c>
      <c r="J123" s="20">
        <v>-1.5</v>
      </c>
      <c r="K123" s="20">
        <v>-1.0</v>
      </c>
      <c r="L123" s="20">
        <v>-0.5</v>
      </c>
      <c r="M123" s="20">
        <v>0.0</v>
      </c>
      <c r="N123" s="20">
        <v>0.5</v>
      </c>
      <c r="O123" s="20">
        <v>1.0</v>
      </c>
      <c r="P123" s="20">
        <v>1.5</v>
      </c>
      <c r="Q123" s="20">
        <v>2.0</v>
      </c>
      <c r="R123" s="20">
        <v>2.5</v>
      </c>
      <c r="S123" s="20">
        <v>3.0</v>
      </c>
      <c r="T123" s="20">
        <v>3.5</v>
      </c>
      <c r="U123" s="20">
        <v>4.0</v>
      </c>
      <c r="V123" s="20">
        <v>4.5</v>
      </c>
    </row>
    <row r="124">
      <c r="B124" s="4" t="s">
        <v>2</v>
      </c>
      <c r="C124" s="8">
        <f t="shared" ref="C124:V124" si="42">max(0, C123)</f>
        <v>0</v>
      </c>
      <c r="D124" s="8">
        <f t="shared" si="42"/>
        <v>0</v>
      </c>
      <c r="E124" s="8">
        <f t="shared" si="42"/>
        <v>0</v>
      </c>
      <c r="F124" s="8">
        <f t="shared" si="42"/>
        <v>0</v>
      </c>
      <c r="G124" s="8">
        <f t="shared" si="42"/>
        <v>0</v>
      </c>
      <c r="H124" s="8">
        <f t="shared" si="42"/>
        <v>0</v>
      </c>
      <c r="I124" s="8">
        <f t="shared" si="42"/>
        <v>0</v>
      </c>
      <c r="J124" s="8">
        <f t="shared" si="42"/>
        <v>0</v>
      </c>
      <c r="K124" s="8">
        <f t="shared" si="42"/>
        <v>0</v>
      </c>
      <c r="L124" s="8">
        <f t="shared" si="42"/>
        <v>0</v>
      </c>
      <c r="M124" s="8">
        <f t="shared" si="42"/>
        <v>0</v>
      </c>
      <c r="N124" s="8">
        <f t="shared" si="42"/>
        <v>0.5</v>
      </c>
      <c r="O124" s="8">
        <f t="shared" si="42"/>
        <v>1</v>
      </c>
      <c r="P124" s="8">
        <f t="shared" si="42"/>
        <v>1.5</v>
      </c>
      <c r="Q124" s="8">
        <f t="shared" si="42"/>
        <v>2</v>
      </c>
      <c r="R124" s="8">
        <f t="shared" si="42"/>
        <v>2.5</v>
      </c>
      <c r="S124" s="8">
        <f t="shared" si="42"/>
        <v>3</v>
      </c>
      <c r="T124" s="8">
        <f t="shared" si="42"/>
        <v>3.5</v>
      </c>
      <c r="U124" s="8">
        <f t="shared" si="42"/>
        <v>4</v>
      </c>
      <c r="V124" s="8">
        <f t="shared" si="42"/>
        <v>4.5</v>
      </c>
    </row>
    <row r="125">
      <c r="B125" s="9" t="s">
        <v>8</v>
      </c>
      <c r="C125" s="8">
        <f t="shared" ref="C125:V125" si="43">max(0, C124)^2</f>
        <v>0</v>
      </c>
      <c r="D125" s="8">
        <f t="shared" si="43"/>
        <v>0</v>
      </c>
      <c r="E125" s="8">
        <f t="shared" si="43"/>
        <v>0</v>
      </c>
      <c r="F125" s="8">
        <f t="shared" si="43"/>
        <v>0</v>
      </c>
      <c r="G125" s="8">
        <f t="shared" si="43"/>
        <v>0</v>
      </c>
      <c r="H125" s="8">
        <f t="shared" si="43"/>
        <v>0</v>
      </c>
      <c r="I125" s="8">
        <f t="shared" si="43"/>
        <v>0</v>
      </c>
      <c r="J125" s="8">
        <f t="shared" si="43"/>
        <v>0</v>
      </c>
      <c r="K125" s="8">
        <f t="shared" si="43"/>
        <v>0</v>
      </c>
      <c r="L125" s="8">
        <f t="shared" si="43"/>
        <v>0</v>
      </c>
      <c r="M125" s="8">
        <f t="shared" si="43"/>
        <v>0</v>
      </c>
      <c r="N125" s="8">
        <f t="shared" si="43"/>
        <v>0.25</v>
      </c>
      <c r="O125" s="8">
        <f t="shared" si="43"/>
        <v>1</v>
      </c>
      <c r="P125" s="8">
        <f t="shared" si="43"/>
        <v>2.25</v>
      </c>
      <c r="Q125" s="8">
        <f t="shared" si="43"/>
        <v>4</v>
      </c>
      <c r="R125" s="8">
        <f t="shared" si="43"/>
        <v>6.25</v>
      </c>
      <c r="S125" s="8">
        <f t="shared" si="43"/>
        <v>9</v>
      </c>
      <c r="T125" s="8">
        <f t="shared" si="43"/>
        <v>12.25</v>
      </c>
      <c r="U125" s="8">
        <f t="shared" si="43"/>
        <v>16</v>
      </c>
      <c r="V125" s="8">
        <f t="shared" si="43"/>
        <v>20.25</v>
      </c>
    </row>
    <row r="126">
      <c r="B126" s="9" t="s">
        <v>11</v>
      </c>
      <c r="C126" s="8">
        <f t="shared" ref="C126:V126" si="44">IF(C124&gt;0,C124, C123*$C$121)</f>
        <v>-1</v>
      </c>
      <c r="D126" s="8">
        <f t="shared" si="44"/>
        <v>-0.9</v>
      </c>
      <c r="E126" s="8">
        <f t="shared" si="44"/>
        <v>-0.8</v>
      </c>
      <c r="F126" s="8">
        <f t="shared" si="44"/>
        <v>-0.7</v>
      </c>
      <c r="G126" s="8">
        <f t="shared" si="44"/>
        <v>-0.6</v>
      </c>
      <c r="H126" s="8">
        <f t="shared" si="44"/>
        <v>-0.5</v>
      </c>
      <c r="I126" s="8">
        <f t="shared" si="44"/>
        <v>-0.4</v>
      </c>
      <c r="J126" s="8">
        <f t="shared" si="44"/>
        <v>-0.3</v>
      </c>
      <c r="K126" s="8">
        <f t="shared" si="44"/>
        <v>-0.2</v>
      </c>
      <c r="L126" s="8">
        <f t="shared" si="44"/>
        <v>-0.1</v>
      </c>
      <c r="M126" s="8">
        <f t="shared" si="44"/>
        <v>0</v>
      </c>
      <c r="N126" s="8">
        <f t="shared" si="44"/>
        <v>0.5</v>
      </c>
      <c r="O126" s="8">
        <f t="shared" si="44"/>
        <v>1</v>
      </c>
      <c r="P126" s="8">
        <f t="shared" si="44"/>
        <v>1.5</v>
      </c>
      <c r="Q126" s="8">
        <f t="shared" si="44"/>
        <v>2</v>
      </c>
      <c r="R126" s="8">
        <f t="shared" si="44"/>
        <v>2.5</v>
      </c>
      <c r="S126" s="8">
        <f t="shared" si="44"/>
        <v>3</v>
      </c>
      <c r="T126" s="8">
        <f t="shared" si="44"/>
        <v>3.5</v>
      </c>
      <c r="U126" s="8">
        <f t="shared" si="44"/>
        <v>4</v>
      </c>
      <c r="V126" s="8">
        <f t="shared" si="44"/>
        <v>4.5</v>
      </c>
    </row>
    <row r="150">
      <c r="A150" s="1" t="s">
        <v>13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4">
      <c r="B154" s="2"/>
      <c r="C154" s="15"/>
    </row>
    <row r="156">
      <c r="B156" s="2" t="s">
        <v>1</v>
      </c>
      <c r="C156" s="19">
        <f t="array" ref="C156:V156">SEQUENCE(1, 20, -5, 0.5)</f>
        <v>-5</v>
      </c>
      <c r="D156" s="20">
        <v>-4.5</v>
      </c>
      <c r="E156" s="20">
        <v>-4.0</v>
      </c>
      <c r="F156" s="20">
        <v>-3.5</v>
      </c>
      <c r="G156" s="20">
        <v>-3.0</v>
      </c>
      <c r="H156" s="20">
        <v>-2.5</v>
      </c>
      <c r="I156" s="20">
        <v>-2.0</v>
      </c>
      <c r="J156" s="20">
        <v>-1.5</v>
      </c>
      <c r="K156" s="20">
        <v>-1.0</v>
      </c>
      <c r="L156" s="20">
        <v>-0.5</v>
      </c>
      <c r="M156" s="20">
        <v>0.0</v>
      </c>
      <c r="N156" s="20">
        <v>0.5</v>
      </c>
      <c r="O156" s="20">
        <v>1.0</v>
      </c>
      <c r="P156" s="20">
        <v>1.5</v>
      </c>
      <c r="Q156" s="20">
        <v>2.0</v>
      </c>
      <c r="R156" s="20">
        <v>2.5</v>
      </c>
      <c r="S156" s="20">
        <v>3.0</v>
      </c>
      <c r="T156" s="20">
        <v>3.5</v>
      </c>
      <c r="U156" s="20">
        <v>4.0</v>
      </c>
      <c r="V156" s="20">
        <v>4.5</v>
      </c>
    </row>
    <row r="157">
      <c r="B157" s="4" t="s">
        <v>2</v>
      </c>
      <c r="C157" s="8">
        <f t="shared" ref="C157:V157" si="45">max(0, C156)</f>
        <v>0</v>
      </c>
      <c r="D157" s="8">
        <f t="shared" si="45"/>
        <v>0</v>
      </c>
      <c r="E157" s="8">
        <f t="shared" si="45"/>
        <v>0</v>
      </c>
      <c r="F157" s="8">
        <f t="shared" si="45"/>
        <v>0</v>
      </c>
      <c r="G157" s="8">
        <f t="shared" si="45"/>
        <v>0</v>
      </c>
      <c r="H157" s="8">
        <f t="shared" si="45"/>
        <v>0</v>
      </c>
      <c r="I157" s="8">
        <f t="shared" si="45"/>
        <v>0</v>
      </c>
      <c r="J157" s="8">
        <f t="shared" si="45"/>
        <v>0</v>
      </c>
      <c r="K157" s="8">
        <f t="shared" si="45"/>
        <v>0</v>
      </c>
      <c r="L157" s="8">
        <f t="shared" si="45"/>
        <v>0</v>
      </c>
      <c r="M157" s="8">
        <f t="shared" si="45"/>
        <v>0</v>
      </c>
      <c r="N157" s="8">
        <f t="shared" si="45"/>
        <v>0.5</v>
      </c>
      <c r="O157" s="8">
        <f t="shared" si="45"/>
        <v>1</v>
      </c>
      <c r="P157" s="8">
        <f t="shared" si="45"/>
        <v>1.5</v>
      </c>
      <c r="Q157" s="8">
        <f t="shared" si="45"/>
        <v>2</v>
      </c>
      <c r="R157" s="8">
        <f t="shared" si="45"/>
        <v>2.5</v>
      </c>
      <c r="S157" s="8">
        <f t="shared" si="45"/>
        <v>3</v>
      </c>
      <c r="T157" s="8">
        <f t="shared" si="45"/>
        <v>3.5</v>
      </c>
      <c r="U157" s="8">
        <f t="shared" si="45"/>
        <v>4</v>
      </c>
      <c r="V157" s="8">
        <f t="shared" si="45"/>
        <v>4.5</v>
      </c>
    </row>
    <row r="158">
      <c r="B158" s="4" t="s">
        <v>14</v>
      </c>
      <c r="C158" s="22">
        <f t="shared" ref="C158:V158" si="46">0.5 * C156* (1 + TANH(SQRT(2/PI()) * (C156 + 0.044715 * C156^3)))</f>
        <v>-0.0000002291796197</v>
      </c>
      <c r="D158" s="22">
        <f t="shared" si="46"/>
        <v>-0.000005136737412</v>
      </c>
      <c r="E158" s="22">
        <f t="shared" si="46"/>
        <v>-0.00007024594819</v>
      </c>
      <c r="F158" s="22">
        <f t="shared" si="46"/>
        <v>-0.0006161976554</v>
      </c>
      <c r="G158" s="22">
        <f t="shared" si="46"/>
        <v>-0.003637392082</v>
      </c>
      <c r="H158" s="22">
        <f t="shared" si="46"/>
        <v>-0.01508426609</v>
      </c>
      <c r="I158" s="22">
        <f t="shared" si="46"/>
        <v>-0.04540230591</v>
      </c>
      <c r="J158" s="22">
        <f t="shared" si="46"/>
        <v>-0.100428423</v>
      </c>
      <c r="K158" s="22">
        <f t="shared" si="46"/>
        <v>-0.1588080094</v>
      </c>
      <c r="L158" s="22">
        <f t="shared" si="46"/>
        <v>-0.1542859902</v>
      </c>
      <c r="M158" s="22">
        <f t="shared" si="46"/>
        <v>0</v>
      </c>
      <c r="N158" s="22">
        <f t="shared" si="46"/>
        <v>0.3457140098</v>
      </c>
      <c r="O158" s="22">
        <f t="shared" si="46"/>
        <v>0.8411919906</v>
      </c>
      <c r="P158" s="22">
        <f t="shared" si="46"/>
        <v>1.399571577</v>
      </c>
      <c r="Q158" s="22">
        <f t="shared" si="46"/>
        <v>1.954597694</v>
      </c>
      <c r="R158" s="22">
        <f t="shared" si="46"/>
        <v>2.484915734</v>
      </c>
      <c r="S158" s="22">
        <f t="shared" si="46"/>
        <v>2.996362608</v>
      </c>
      <c r="T158" s="22">
        <f t="shared" si="46"/>
        <v>3.499383802</v>
      </c>
      <c r="U158" s="22">
        <f t="shared" si="46"/>
        <v>3.999929754</v>
      </c>
      <c r="V158" s="22">
        <f t="shared" si="46"/>
        <v>4.499994863</v>
      </c>
    </row>
    <row r="183">
      <c r="A183" s="1" t="s">
        <v>15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7">
      <c r="B187" s="2"/>
      <c r="C187" s="15"/>
    </row>
    <row r="189">
      <c r="A189" s="23"/>
      <c r="B189" s="24" t="s">
        <v>1</v>
      </c>
      <c r="C189" s="25">
        <f t="array" ref="C189:AI189">SEQUENCE(1, 33, -4, 0.25)</f>
        <v>-4</v>
      </c>
      <c r="D189" s="26">
        <v>-3.75</v>
      </c>
      <c r="E189" s="26">
        <v>-3.5</v>
      </c>
      <c r="F189" s="26">
        <v>-3.25</v>
      </c>
      <c r="G189" s="26">
        <v>-3.0</v>
      </c>
      <c r="H189" s="26">
        <v>-2.75</v>
      </c>
      <c r="I189" s="26">
        <v>-2.5</v>
      </c>
      <c r="J189" s="26">
        <v>-2.25</v>
      </c>
      <c r="K189" s="26">
        <v>-2.0</v>
      </c>
      <c r="L189" s="26">
        <v>-1.75</v>
      </c>
      <c r="M189" s="26">
        <v>-1.5</v>
      </c>
      <c r="N189" s="26">
        <v>-1.25</v>
      </c>
      <c r="O189" s="26">
        <v>-1.0</v>
      </c>
      <c r="P189" s="26">
        <v>-0.75</v>
      </c>
      <c r="Q189" s="26">
        <v>-0.5</v>
      </c>
      <c r="R189" s="26">
        <v>-0.25</v>
      </c>
      <c r="S189" s="26">
        <v>0.0</v>
      </c>
      <c r="T189" s="26">
        <v>0.25</v>
      </c>
      <c r="U189" s="26">
        <v>0.5</v>
      </c>
      <c r="V189" s="26">
        <v>0.75</v>
      </c>
      <c r="W189" s="23">
        <v>1.0</v>
      </c>
      <c r="X189" s="23">
        <v>1.25</v>
      </c>
      <c r="Y189" s="23">
        <v>1.5</v>
      </c>
      <c r="Z189" s="23">
        <v>1.75</v>
      </c>
      <c r="AA189" s="23">
        <v>2.0</v>
      </c>
      <c r="AB189" s="23">
        <v>2.25</v>
      </c>
      <c r="AC189" s="23">
        <v>2.5</v>
      </c>
      <c r="AD189" s="23">
        <v>2.75</v>
      </c>
      <c r="AE189" s="23">
        <v>3.0</v>
      </c>
      <c r="AF189" s="23">
        <v>3.25</v>
      </c>
      <c r="AG189" s="23">
        <v>3.5</v>
      </c>
      <c r="AH189" s="23">
        <v>3.75</v>
      </c>
      <c r="AI189" s="23">
        <v>4.0</v>
      </c>
      <c r="AJ189" s="23"/>
      <c r="AK189" s="23"/>
      <c r="AL189" s="23"/>
      <c r="AM189" s="23"/>
      <c r="AN189" s="23"/>
      <c r="AO189" s="23"/>
      <c r="AP189" s="23"/>
    </row>
    <row r="190">
      <c r="B190" s="4" t="s">
        <v>2</v>
      </c>
      <c r="C190" s="8">
        <f t="shared" ref="C190:AI190" si="47">max(0, C189)</f>
        <v>0</v>
      </c>
      <c r="D190" s="8">
        <f t="shared" si="47"/>
        <v>0</v>
      </c>
      <c r="E190" s="8">
        <f t="shared" si="47"/>
        <v>0</v>
      </c>
      <c r="F190" s="8">
        <f t="shared" si="47"/>
        <v>0</v>
      </c>
      <c r="G190" s="8">
        <f t="shared" si="47"/>
        <v>0</v>
      </c>
      <c r="H190" s="8">
        <f t="shared" si="47"/>
        <v>0</v>
      </c>
      <c r="I190" s="8">
        <f t="shared" si="47"/>
        <v>0</v>
      </c>
      <c r="J190" s="8">
        <f t="shared" si="47"/>
        <v>0</v>
      </c>
      <c r="K190" s="8">
        <f t="shared" si="47"/>
        <v>0</v>
      </c>
      <c r="L190" s="8">
        <f t="shared" si="47"/>
        <v>0</v>
      </c>
      <c r="M190" s="8">
        <f t="shared" si="47"/>
        <v>0</v>
      </c>
      <c r="N190" s="8">
        <f t="shared" si="47"/>
        <v>0</v>
      </c>
      <c r="O190" s="8">
        <f t="shared" si="47"/>
        <v>0</v>
      </c>
      <c r="P190" s="8">
        <f t="shared" si="47"/>
        <v>0</v>
      </c>
      <c r="Q190" s="8">
        <f t="shared" si="47"/>
        <v>0</v>
      </c>
      <c r="R190" s="8">
        <f t="shared" si="47"/>
        <v>0</v>
      </c>
      <c r="S190" s="8">
        <f t="shared" si="47"/>
        <v>0</v>
      </c>
      <c r="T190" s="8">
        <f t="shared" si="47"/>
        <v>0.25</v>
      </c>
      <c r="U190" s="8">
        <f t="shared" si="47"/>
        <v>0.5</v>
      </c>
      <c r="V190" s="8">
        <f t="shared" si="47"/>
        <v>0.75</v>
      </c>
      <c r="W190" s="8">
        <f t="shared" si="47"/>
        <v>1</v>
      </c>
      <c r="X190" s="8">
        <f t="shared" si="47"/>
        <v>1.25</v>
      </c>
      <c r="Y190" s="8">
        <f t="shared" si="47"/>
        <v>1.5</v>
      </c>
      <c r="Z190" s="8">
        <f t="shared" si="47"/>
        <v>1.75</v>
      </c>
      <c r="AA190" s="8">
        <f t="shared" si="47"/>
        <v>2</v>
      </c>
      <c r="AB190" s="8">
        <f t="shared" si="47"/>
        <v>2.25</v>
      </c>
      <c r="AC190" s="8">
        <f t="shared" si="47"/>
        <v>2.5</v>
      </c>
      <c r="AD190" s="8">
        <f t="shared" si="47"/>
        <v>2.75</v>
      </c>
      <c r="AE190" s="8">
        <f t="shared" si="47"/>
        <v>3</v>
      </c>
      <c r="AF190" s="8">
        <f t="shared" si="47"/>
        <v>3.25</v>
      </c>
      <c r="AG190" s="8">
        <f t="shared" si="47"/>
        <v>3.5</v>
      </c>
      <c r="AH190" s="8">
        <f t="shared" si="47"/>
        <v>3.75</v>
      </c>
      <c r="AI190" s="8">
        <f t="shared" si="47"/>
        <v>4</v>
      </c>
    </row>
    <row r="191">
      <c r="B191" s="9" t="s">
        <v>8</v>
      </c>
      <c r="C191" s="8">
        <f t="shared" ref="C191:AI191" si="48">max(0, C190)^2</f>
        <v>0</v>
      </c>
      <c r="D191" s="8">
        <f t="shared" si="48"/>
        <v>0</v>
      </c>
      <c r="E191" s="8">
        <f t="shared" si="48"/>
        <v>0</v>
      </c>
      <c r="F191" s="8">
        <f t="shared" si="48"/>
        <v>0</v>
      </c>
      <c r="G191" s="8">
        <f t="shared" si="48"/>
        <v>0</v>
      </c>
      <c r="H191" s="8">
        <f t="shared" si="48"/>
        <v>0</v>
      </c>
      <c r="I191" s="8">
        <f t="shared" si="48"/>
        <v>0</v>
      </c>
      <c r="J191" s="8">
        <f t="shared" si="48"/>
        <v>0</v>
      </c>
      <c r="K191" s="8">
        <f t="shared" si="48"/>
        <v>0</v>
      </c>
      <c r="L191" s="8">
        <f t="shared" si="48"/>
        <v>0</v>
      </c>
      <c r="M191" s="8">
        <f t="shared" si="48"/>
        <v>0</v>
      </c>
      <c r="N191" s="8">
        <f t="shared" si="48"/>
        <v>0</v>
      </c>
      <c r="O191" s="8">
        <f t="shared" si="48"/>
        <v>0</v>
      </c>
      <c r="P191" s="8">
        <f t="shared" si="48"/>
        <v>0</v>
      </c>
      <c r="Q191" s="8">
        <f t="shared" si="48"/>
        <v>0</v>
      </c>
      <c r="R191" s="8">
        <f t="shared" si="48"/>
        <v>0</v>
      </c>
      <c r="S191" s="8">
        <f t="shared" si="48"/>
        <v>0</v>
      </c>
      <c r="T191" s="8">
        <f t="shared" si="48"/>
        <v>0.0625</v>
      </c>
      <c r="U191" s="8">
        <f t="shared" si="48"/>
        <v>0.25</v>
      </c>
      <c r="V191" s="8">
        <f t="shared" si="48"/>
        <v>0.5625</v>
      </c>
      <c r="W191" s="8">
        <f t="shared" si="48"/>
        <v>1</v>
      </c>
      <c r="X191" s="8">
        <f t="shared" si="48"/>
        <v>1.5625</v>
      </c>
      <c r="Y191" s="8">
        <f t="shared" si="48"/>
        <v>2.25</v>
      </c>
      <c r="Z191" s="8">
        <f t="shared" si="48"/>
        <v>3.0625</v>
      </c>
      <c r="AA191" s="8">
        <f t="shared" si="48"/>
        <v>4</v>
      </c>
      <c r="AB191" s="8">
        <f t="shared" si="48"/>
        <v>5.0625</v>
      </c>
      <c r="AC191" s="8">
        <f t="shared" si="48"/>
        <v>6.25</v>
      </c>
      <c r="AD191" s="8">
        <f t="shared" si="48"/>
        <v>7.5625</v>
      </c>
      <c r="AE191" s="8">
        <f t="shared" si="48"/>
        <v>9</v>
      </c>
      <c r="AF191" s="8">
        <f t="shared" si="48"/>
        <v>10.5625</v>
      </c>
      <c r="AG191" s="8">
        <f t="shared" si="48"/>
        <v>12.25</v>
      </c>
      <c r="AH191" s="8">
        <f t="shared" si="48"/>
        <v>14.0625</v>
      </c>
      <c r="AI191" s="8">
        <f t="shared" si="48"/>
        <v>16</v>
      </c>
    </row>
    <row r="192">
      <c r="B192" s="9" t="s">
        <v>11</v>
      </c>
      <c r="C192" s="8">
        <f t="shared" ref="C192:AI192" si="49">if(C190, C190,C189*$C$121)</f>
        <v>-0.8</v>
      </c>
      <c r="D192" s="8">
        <f t="shared" si="49"/>
        <v>-0.75</v>
      </c>
      <c r="E192" s="8">
        <f t="shared" si="49"/>
        <v>-0.7</v>
      </c>
      <c r="F192" s="8">
        <f t="shared" si="49"/>
        <v>-0.65</v>
      </c>
      <c r="G192" s="8">
        <f t="shared" si="49"/>
        <v>-0.6</v>
      </c>
      <c r="H192" s="8">
        <f t="shared" si="49"/>
        <v>-0.55</v>
      </c>
      <c r="I192" s="8">
        <f t="shared" si="49"/>
        <v>-0.5</v>
      </c>
      <c r="J192" s="8">
        <f t="shared" si="49"/>
        <v>-0.45</v>
      </c>
      <c r="K192" s="8">
        <f t="shared" si="49"/>
        <v>-0.4</v>
      </c>
      <c r="L192" s="8">
        <f t="shared" si="49"/>
        <v>-0.35</v>
      </c>
      <c r="M192" s="8">
        <f t="shared" si="49"/>
        <v>-0.3</v>
      </c>
      <c r="N192" s="8">
        <f t="shared" si="49"/>
        <v>-0.25</v>
      </c>
      <c r="O192" s="8">
        <f t="shared" si="49"/>
        <v>-0.2</v>
      </c>
      <c r="P192" s="8">
        <f t="shared" si="49"/>
        <v>-0.15</v>
      </c>
      <c r="Q192" s="8">
        <f t="shared" si="49"/>
        <v>-0.1</v>
      </c>
      <c r="R192" s="8">
        <f t="shared" si="49"/>
        <v>-0.05</v>
      </c>
      <c r="S192" s="8">
        <f t="shared" si="49"/>
        <v>0</v>
      </c>
      <c r="T192" s="8">
        <f t="shared" si="49"/>
        <v>0.25</v>
      </c>
      <c r="U192" s="8">
        <f t="shared" si="49"/>
        <v>0.5</v>
      </c>
      <c r="V192" s="8">
        <f t="shared" si="49"/>
        <v>0.75</v>
      </c>
      <c r="W192" s="8">
        <f t="shared" si="49"/>
        <v>1</v>
      </c>
      <c r="X192" s="8">
        <f t="shared" si="49"/>
        <v>1.25</v>
      </c>
      <c r="Y192" s="8">
        <f t="shared" si="49"/>
        <v>1.5</v>
      </c>
      <c r="Z192" s="8">
        <f t="shared" si="49"/>
        <v>1.75</v>
      </c>
      <c r="AA192" s="8">
        <f t="shared" si="49"/>
        <v>2</v>
      </c>
      <c r="AB192" s="8">
        <f t="shared" si="49"/>
        <v>2.25</v>
      </c>
      <c r="AC192" s="8">
        <f t="shared" si="49"/>
        <v>2.5</v>
      </c>
      <c r="AD192" s="8">
        <f t="shared" si="49"/>
        <v>2.75</v>
      </c>
      <c r="AE192" s="8">
        <f t="shared" si="49"/>
        <v>3</v>
      </c>
      <c r="AF192" s="8">
        <f t="shared" si="49"/>
        <v>3.25</v>
      </c>
      <c r="AG192" s="8">
        <f t="shared" si="49"/>
        <v>3.5</v>
      </c>
      <c r="AH192" s="8">
        <f t="shared" si="49"/>
        <v>3.75</v>
      </c>
      <c r="AI192" s="8">
        <f t="shared" si="49"/>
        <v>4</v>
      </c>
    </row>
    <row r="193">
      <c r="B193" s="4" t="s">
        <v>14</v>
      </c>
      <c r="C193" s="22">
        <f t="shared" ref="C193:AI193" si="50">0.5 * C191* (1 + TANH(SQRT(2/PI()) * (C191 + 0.044715 * C191^3)))</f>
        <v>0</v>
      </c>
      <c r="D193" s="22">
        <f t="shared" si="50"/>
        <v>0</v>
      </c>
      <c r="E193" s="22">
        <f t="shared" si="50"/>
        <v>0</v>
      </c>
      <c r="F193" s="22">
        <f t="shared" si="50"/>
        <v>0</v>
      </c>
      <c r="G193" s="22">
        <f t="shared" si="50"/>
        <v>0</v>
      </c>
      <c r="H193" s="22">
        <f t="shared" si="50"/>
        <v>0</v>
      </c>
      <c r="I193" s="22">
        <f t="shared" si="50"/>
        <v>0</v>
      </c>
      <c r="J193" s="22">
        <f t="shared" si="50"/>
        <v>0</v>
      </c>
      <c r="K193" s="22">
        <f t="shared" si="50"/>
        <v>0</v>
      </c>
      <c r="L193" s="22">
        <f t="shared" si="50"/>
        <v>0</v>
      </c>
      <c r="M193" s="22">
        <f t="shared" si="50"/>
        <v>0</v>
      </c>
      <c r="N193" s="22">
        <f t="shared" si="50"/>
        <v>0</v>
      </c>
      <c r="O193" s="22">
        <f t="shared" si="50"/>
        <v>0</v>
      </c>
      <c r="P193" s="22">
        <f t="shared" si="50"/>
        <v>0</v>
      </c>
      <c r="Q193" s="22">
        <f t="shared" si="50"/>
        <v>0</v>
      </c>
      <c r="R193" s="22">
        <f t="shared" si="50"/>
        <v>0</v>
      </c>
      <c r="S193" s="22">
        <f t="shared" si="50"/>
        <v>0</v>
      </c>
      <c r="T193" s="22">
        <f t="shared" si="50"/>
        <v>0.03280734931</v>
      </c>
      <c r="U193" s="22">
        <f t="shared" si="50"/>
        <v>0.1496753507</v>
      </c>
      <c r="V193" s="22">
        <f t="shared" si="50"/>
        <v>0.4010993944</v>
      </c>
      <c r="W193" s="22">
        <f t="shared" si="50"/>
        <v>0.8411919906</v>
      </c>
      <c r="X193" s="22">
        <f t="shared" si="50"/>
        <v>1.469980613</v>
      </c>
      <c r="Y193" s="22">
        <f t="shared" si="50"/>
        <v>2.22279867</v>
      </c>
      <c r="Z193" s="22">
        <f t="shared" si="50"/>
        <v>3.059527345</v>
      </c>
      <c r="AA193" s="22">
        <f t="shared" si="50"/>
        <v>3.999929754</v>
      </c>
      <c r="AB193" s="22">
        <f t="shared" si="50"/>
        <v>5.06249985</v>
      </c>
      <c r="AC193" s="22">
        <f t="shared" si="50"/>
        <v>6.25</v>
      </c>
      <c r="AD193" s="22">
        <f t="shared" si="50"/>
        <v>7.5625</v>
      </c>
      <c r="AE193" s="22">
        <f t="shared" si="50"/>
        <v>9</v>
      </c>
      <c r="AF193" s="22">
        <f t="shared" si="50"/>
        <v>10.5625</v>
      </c>
      <c r="AG193" s="22">
        <f t="shared" si="50"/>
        <v>12.25</v>
      </c>
      <c r="AH193" s="22">
        <f t="shared" si="50"/>
        <v>14.0625</v>
      </c>
      <c r="AI193" s="22">
        <f t="shared" si="50"/>
        <v>16</v>
      </c>
    </row>
    <row r="194">
      <c r="B194" s="9" t="s">
        <v>16</v>
      </c>
      <c r="C194" s="22">
        <f t="shared" ref="C194:AI194" si="51">Tanh(C189)</f>
        <v>-0.9993292997</v>
      </c>
      <c r="D194" s="22">
        <f t="shared" si="51"/>
        <v>-0.9988944427</v>
      </c>
      <c r="E194" s="22">
        <f t="shared" si="51"/>
        <v>-0.9981778976</v>
      </c>
      <c r="F194" s="22">
        <f t="shared" si="51"/>
        <v>-0.9969976355</v>
      </c>
      <c r="G194" s="22">
        <f t="shared" si="51"/>
        <v>-0.9950547537</v>
      </c>
      <c r="H194" s="22">
        <f t="shared" si="51"/>
        <v>-0.9918597246</v>
      </c>
      <c r="I194" s="22">
        <f t="shared" si="51"/>
        <v>-0.9866142982</v>
      </c>
      <c r="J194" s="22">
        <f t="shared" si="51"/>
        <v>-0.9780261147</v>
      </c>
      <c r="K194" s="22">
        <f t="shared" si="51"/>
        <v>-0.9640275801</v>
      </c>
      <c r="L194" s="22">
        <f t="shared" si="51"/>
        <v>-0.9413755385</v>
      </c>
      <c r="M194" s="22">
        <f t="shared" si="51"/>
        <v>-0.9051482536</v>
      </c>
      <c r="N194" s="22">
        <f t="shared" si="51"/>
        <v>-0.84828364</v>
      </c>
      <c r="O194" s="22">
        <f t="shared" si="51"/>
        <v>-0.761594156</v>
      </c>
      <c r="P194" s="22">
        <f t="shared" si="51"/>
        <v>-0.6351489524</v>
      </c>
      <c r="Q194" s="22">
        <f t="shared" si="51"/>
        <v>-0.4621171573</v>
      </c>
      <c r="R194" s="22">
        <f t="shared" si="51"/>
        <v>-0.2449186624</v>
      </c>
      <c r="S194" s="22">
        <f t="shared" si="51"/>
        <v>0</v>
      </c>
      <c r="T194" s="22">
        <f t="shared" si="51"/>
        <v>0.2449186624</v>
      </c>
      <c r="U194" s="22">
        <f t="shared" si="51"/>
        <v>0.4621171573</v>
      </c>
      <c r="V194" s="22">
        <f t="shared" si="51"/>
        <v>0.6351489524</v>
      </c>
      <c r="W194" s="22">
        <f t="shared" si="51"/>
        <v>0.761594156</v>
      </c>
      <c r="X194" s="22">
        <f t="shared" si="51"/>
        <v>0.84828364</v>
      </c>
      <c r="Y194" s="22">
        <f t="shared" si="51"/>
        <v>0.9051482536</v>
      </c>
      <c r="Z194" s="22">
        <f t="shared" si="51"/>
        <v>0.9413755385</v>
      </c>
      <c r="AA194" s="22">
        <f t="shared" si="51"/>
        <v>0.9640275801</v>
      </c>
      <c r="AB194" s="22">
        <f t="shared" si="51"/>
        <v>0.9780261147</v>
      </c>
      <c r="AC194" s="22">
        <f t="shared" si="51"/>
        <v>0.9866142982</v>
      </c>
      <c r="AD194" s="22">
        <f t="shared" si="51"/>
        <v>0.9918597246</v>
      </c>
      <c r="AE194" s="22">
        <f t="shared" si="51"/>
        <v>0.9950547537</v>
      </c>
      <c r="AF194" s="22">
        <f t="shared" si="51"/>
        <v>0.9969976355</v>
      </c>
      <c r="AG194" s="22">
        <f t="shared" si="51"/>
        <v>0.9981778976</v>
      </c>
      <c r="AH194" s="22">
        <f t="shared" si="51"/>
        <v>0.9988944427</v>
      </c>
      <c r="AI194" s="22">
        <f t="shared" si="51"/>
        <v>0.9993292997</v>
      </c>
    </row>
    <row r="195">
      <c r="B195" s="9" t="s">
        <v>17</v>
      </c>
      <c r="C195" s="22">
        <f t="shared" ref="C195:AI195" si="52">1/(1+EXP(-C189))</f>
        <v>0.01798620996</v>
      </c>
      <c r="D195" s="22">
        <f t="shared" si="52"/>
        <v>0.02297736991</v>
      </c>
      <c r="E195" s="22">
        <f t="shared" si="52"/>
        <v>0.02931223075</v>
      </c>
      <c r="F195" s="22">
        <f t="shared" si="52"/>
        <v>0.03732688734</v>
      </c>
      <c r="G195" s="22">
        <f t="shared" si="52"/>
        <v>0.04742587318</v>
      </c>
      <c r="H195" s="22">
        <f t="shared" si="52"/>
        <v>0.06008665017</v>
      </c>
      <c r="I195" s="22">
        <f t="shared" si="52"/>
        <v>0.07585818002</v>
      </c>
      <c r="J195" s="22">
        <f t="shared" si="52"/>
        <v>0.0953494649</v>
      </c>
      <c r="K195" s="22">
        <f t="shared" si="52"/>
        <v>0.119202922</v>
      </c>
      <c r="L195" s="22">
        <f t="shared" si="52"/>
        <v>0.148047198</v>
      </c>
      <c r="M195" s="22">
        <f t="shared" si="52"/>
        <v>0.1824255238</v>
      </c>
      <c r="N195" s="22">
        <f t="shared" si="52"/>
        <v>0.2227001388</v>
      </c>
      <c r="O195" s="22">
        <f t="shared" si="52"/>
        <v>0.2689414214</v>
      </c>
      <c r="P195" s="22">
        <f t="shared" si="52"/>
        <v>0.3208213008</v>
      </c>
      <c r="Q195" s="22">
        <f t="shared" si="52"/>
        <v>0.3775406688</v>
      </c>
      <c r="R195" s="22">
        <f t="shared" si="52"/>
        <v>0.4378234991</v>
      </c>
      <c r="S195" s="22">
        <f t="shared" si="52"/>
        <v>0.5</v>
      </c>
      <c r="T195" s="22">
        <f t="shared" si="52"/>
        <v>0.5621765009</v>
      </c>
      <c r="U195" s="22">
        <f t="shared" si="52"/>
        <v>0.6224593312</v>
      </c>
      <c r="V195" s="22">
        <f t="shared" si="52"/>
        <v>0.6791786992</v>
      </c>
      <c r="W195" s="22">
        <f t="shared" si="52"/>
        <v>0.7310585786</v>
      </c>
      <c r="X195" s="22">
        <f t="shared" si="52"/>
        <v>0.7772998612</v>
      </c>
      <c r="Y195" s="22">
        <f t="shared" si="52"/>
        <v>0.8175744762</v>
      </c>
      <c r="Z195" s="22">
        <f t="shared" si="52"/>
        <v>0.851952802</v>
      </c>
      <c r="AA195" s="22">
        <f t="shared" si="52"/>
        <v>0.880797078</v>
      </c>
      <c r="AB195" s="22">
        <f t="shared" si="52"/>
        <v>0.9046505351</v>
      </c>
      <c r="AC195" s="22">
        <f t="shared" si="52"/>
        <v>0.92414182</v>
      </c>
      <c r="AD195" s="22">
        <f t="shared" si="52"/>
        <v>0.9399133498</v>
      </c>
      <c r="AE195" s="22">
        <f t="shared" si="52"/>
        <v>0.9525741268</v>
      </c>
      <c r="AF195" s="22">
        <f t="shared" si="52"/>
        <v>0.9626731127</v>
      </c>
      <c r="AG195" s="22">
        <f t="shared" si="52"/>
        <v>0.9706877692</v>
      </c>
      <c r="AH195" s="22">
        <f t="shared" si="52"/>
        <v>0.9770226301</v>
      </c>
      <c r="AI195" s="22">
        <f t="shared" si="52"/>
        <v>0.98201379</v>
      </c>
    </row>
    <row r="196">
      <c r="B196" s="9" t="s">
        <v>18</v>
      </c>
      <c r="C196" s="22">
        <f t="shared" ref="C196:AI196" si="53">C189/(1+EXP(-C189))</f>
        <v>-0.07194483985</v>
      </c>
      <c r="D196" s="22">
        <f t="shared" si="53"/>
        <v>-0.08616513716</v>
      </c>
      <c r="E196" s="22">
        <f t="shared" si="53"/>
        <v>-0.1025928076</v>
      </c>
      <c r="F196" s="22">
        <f t="shared" si="53"/>
        <v>-0.1213123839</v>
      </c>
      <c r="G196" s="22">
        <f t="shared" si="53"/>
        <v>-0.1422776195</v>
      </c>
      <c r="H196" s="22">
        <f t="shared" si="53"/>
        <v>-0.165238288</v>
      </c>
      <c r="I196" s="22">
        <f t="shared" si="53"/>
        <v>-0.1896454501</v>
      </c>
      <c r="J196" s="22">
        <f t="shared" si="53"/>
        <v>-0.214536296</v>
      </c>
      <c r="K196" s="22">
        <f t="shared" si="53"/>
        <v>-0.238405844</v>
      </c>
      <c r="L196" s="22">
        <f t="shared" si="53"/>
        <v>-0.2590825966</v>
      </c>
      <c r="M196" s="22">
        <f t="shared" si="53"/>
        <v>-0.2736382857</v>
      </c>
      <c r="N196" s="22">
        <f t="shared" si="53"/>
        <v>-0.2783751735</v>
      </c>
      <c r="O196" s="22">
        <f t="shared" si="53"/>
        <v>-0.2689414214</v>
      </c>
      <c r="P196" s="22">
        <f t="shared" si="53"/>
        <v>-0.2406159756</v>
      </c>
      <c r="Q196" s="22">
        <f t="shared" si="53"/>
        <v>-0.1887703344</v>
      </c>
      <c r="R196" s="22">
        <f t="shared" si="53"/>
        <v>-0.1094558748</v>
      </c>
      <c r="S196" s="22">
        <f t="shared" si="53"/>
        <v>0</v>
      </c>
      <c r="T196" s="22">
        <f t="shared" si="53"/>
        <v>0.1405441252</v>
      </c>
      <c r="U196" s="22">
        <f t="shared" si="53"/>
        <v>0.3112296656</v>
      </c>
      <c r="V196" s="22">
        <f t="shared" si="53"/>
        <v>0.5093840244</v>
      </c>
      <c r="W196" s="22">
        <f t="shared" si="53"/>
        <v>0.7310585786</v>
      </c>
      <c r="X196" s="22">
        <f t="shared" si="53"/>
        <v>0.9716248265</v>
      </c>
      <c r="Y196" s="22">
        <f t="shared" si="53"/>
        <v>1.226361714</v>
      </c>
      <c r="Z196" s="22">
        <f t="shared" si="53"/>
        <v>1.490917403</v>
      </c>
      <c r="AA196" s="22">
        <f t="shared" si="53"/>
        <v>1.761594156</v>
      </c>
      <c r="AB196" s="22">
        <f t="shared" si="53"/>
        <v>2.035463704</v>
      </c>
      <c r="AC196" s="22">
        <f t="shared" si="53"/>
        <v>2.31035455</v>
      </c>
      <c r="AD196" s="22">
        <f t="shared" si="53"/>
        <v>2.584761712</v>
      </c>
      <c r="AE196" s="22">
        <f t="shared" si="53"/>
        <v>2.85772238</v>
      </c>
      <c r="AF196" s="22">
        <f t="shared" si="53"/>
        <v>3.128687616</v>
      </c>
      <c r="AG196" s="22">
        <f t="shared" si="53"/>
        <v>3.397407192</v>
      </c>
      <c r="AH196" s="22">
        <f t="shared" si="53"/>
        <v>3.663834863</v>
      </c>
      <c r="AI196" s="22">
        <f t="shared" si="53"/>
        <v>3.92805516</v>
      </c>
    </row>
    <row r="197">
      <c r="B197" s="9" t="s">
        <v>19</v>
      </c>
      <c r="C197" s="22">
        <f t="array" ref="C197:AI197">(C189:AI189) *
  ((C189:AI189) / (1 + EXP(-(C189:AI189))))</f>
        <v>0.2877793594</v>
      </c>
      <c r="D197" s="22">
        <v>0.3231192643597352</v>
      </c>
      <c r="E197" s="22">
        <v>0.35907482670411495</v>
      </c>
      <c r="F197" s="22">
        <v>0.3942652475723674</v>
      </c>
      <c r="G197" s="22">
        <v>0.42683285859810105</v>
      </c>
      <c r="H197" s="22">
        <v>0.45440529194093265</v>
      </c>
      <c r="I197" s="22">
        <v>0.47411362513277217</v>
      </c>
      <c r="J197" s="22">
        <v>0.4827066660517418</v>
      </c>
      <c r="K197" s="22">
        <v>0.4768116880884702</v>
      </c>
      <c r="L197" s="22">
        <v>0.453394543972049</v>
      </c>
      <c r="M197" s="22">
        <v>0.4104574285643018</v>
      </c>
      <c r="N197" s="22">
        <v>0.34796896691454504</v>
      </c>
      <c r="O197" s="22">
        <v>0.2689414213699951</v>
      </c>
      <c r="P197" s="22">
        <v>0.18046198171384145</v>
      </c>
      <c r="Q197" s="22">
        <v>0.09438516719953635</v>
      </c>
      <c r="R197" s="22">
        <v>0.02736396869463762</v>
      </c>
      <c r="S197" s="22">
        <v>0.0</v>
      </c>
      <c r="T197" s="22">
        <v>0.03513603130536238</v>
      </c>
      <c r="U197" s="22">
        <v>0.15561483280046365</v>
      </c>
      <c r="V197" s="22">
        <v>0.3820380182861586</v>
      </c>
      <c r="W197" s="22">
        <v>0.7310585786300049</v>
      </c>
      <c r="X197" s="22">
        <v>1.2145310330854548</v>
      </c>
      <c r="Y197" s="22">
        <v>1.839542571435698</v>
      </c>
      <c r="Z197" s="22">
        <v>2.6091054560279514</v>
      </c>
      <c r="AA197" s="22">
        <v>3.5231883119115293</v>
      </c>
      <c r="AB197" s="22">
        <v>4.579793333948259</v>
      </c>
      <c r="AC197" s="22">
        <v>5.775886374867229</v>
      </c>
      <c r="AD197" s="22">
        <v>7.108094708059067</v>
      </c>
      <c r="AE197" s="22">
        <v>8.5731671414019</v>
      </c>
      <c r="AF197" s="22">
        <v>10.168234752427633</v>
      </c>
      <c r="AG197" s="22">
        <v>11.890925173295884</v>
      </c>
      <c r="AH197" s="22">
        <v>13.739380735640264</v>
      </c>
      <c r="AI197" s="22">
        <v>15.712220640606535</v>
      </c>
    </row>
    <row r="200">
      <c r="V200" s="15" t="s">
        <v>27</v>
      </c>
    </row>
    <row r="227">
      <c r="A227" s="1" t="s">
        <v>23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9">
      <c r="A229" s="23"/>
      <c r="B229" s="25" t="s">
        <v>1</v>
      </c>
      <c r="C229" s="25">
        <f t="array" ref="C229:AI229">SEQUENCE(1, 33, -4, 0.25)</f>
        <v>-4</v>
      </c>
      <c r="D229" s="26">
        <v>-3.75</v>
      </c>
      <c r="E229" s="26">
        <v>-3.5</v>
      </c>
      <c r="F229" s="26">
        <v>-3.25</v>
      </c>
      <c r="G229" s="26">
        <v>-3.0</v>
      </c>
      <c r="H229" s="26">
        <v>-2.75</v>
      </c>
      <c r="I229" s="26">
        <v>-2.5</v>
      </c>
      <c r="J229" s="26">
        <v>-2.25</v>
      </c>
      <c r="K229" s="26">
        <v>-2.0</v>
      </c>
      <c r="L229" s="26">
        <v>-1.75</v>
      </c>
      <c r="M229" s="26">
        <v>-1.5</v>
      </c>
      <c r="N229" s="26">
        <v>-1.25</v>
      </c>
      <c r="O229" s="26">
        <v>-1.0</v>
      </c>
      <c r="P229" s="26">
        <v>-0.75</v>
      </c>
      <c r="Q229" s="26">
        <v>-0.5</v>
      </c>
      <c r="R229" s="26">
        <v>-0.25</v>
      </c>
      <c r="S229" s="26">
        <v>0.0</v>
      </c>
      <c r="T229" s="26">
        <v>0.25</v>
      </c>
      <c r="U229" s="26">
        <v>0.5</v>
      </c>
      <c r="V229" s="26">
        <v>0.75</v>
      </c>
      <c r="W229" s="26">
        <v>1.0</v>
      </c>
      <c r="X229" s="26">
        <v>1.25</v>
      </c>
      <c r="Y229" s="26">
        <v>1.5</v>
      </c>
      <c r="Z229" s="26">
        <v>1.75</v>
      </c>
      <c r="AA229" s="26">
        <v>2.0</v>
      </c>
      <c r="AB229" s="26">
        <v>2.25</v>
      </c>
      <c r="AC229" s="26">
        <v>2.5</v>
      </c>
      <c r="AD229" s="26">
        <v>2.75</v>
      </c>
      <c r="AE229" s="26">
        <v>3.0</v>
      </c>
      <c r="AF229" s="26">
        <v>3.25</v>
      </c>
      <c r="AG229" s="26">
        <v>3.5</v>
      </c>
      <c r="AH229" s="26">
        <v>3.75</v>
      </c>
      <c r="AI229" s="26">
        <v>4.0</v>
      </c>
      <c r="AJ229" s="23"/>
      <c r="AK229" s="23"/>
      <c r="AL229" s="23"/>
      <c r="AM229" s="23"/>
      <c r="AN229" s="23"/>
      <c r="AO229" s="23"/>
      <c r="AP229" s="23"/>
    </row>
    <row r="230">
      <c r="B230" s="27" t="s">
        <v>2</v>
      </c>
      <c r="C230" s="8">
        <f t="shared" ref="C230:AI230" si="54">max(0, C229)</f>
        <v>0</v>
      </c>
      <c r="D230" s="8">
        <f t="shared" si="54"/>
        <v>0</v>
      </c>
      <c r="E230" s="8">
        <f t="shared" si="54"/>
        <v>0</v>
      </c>
      <c r="F230" s="8">
        <f t="shared" si="54"/>
        <v>0</v>
      </c>
      <c r="G230" s="8">
        <f t="shared" si="54"/>
        <v>0</v>
      </c>
      <c r="H230" s="8">
        <f t="shared" si="54"/>
        <v>0</v>
      </c>
      <c r="I230" s="8">
        <f t="shared" si="54"/>
        <v>0</v>
      </c>
      <c r="J230" s="8">
        <f t="shared" si="54"/>
        <v>0</v>
      </c>
      <c r="K230" s="8">
        <f t="shared" si="54"/>
        <v>0</v>
      </c>
      <c r="L230" s="8">
        <f t="shared" si="54"/>
        <v>0</v>
      </c>
      <c r="M230" s="8">
        <f t="shared" si="54"/>
        <v>0</v>
      </c>
      <c r="N230" s="8">
        <f t="shared" si="54"/>
        <v>0</v>
      </c>
      <c r="O230" s="8">
        <f t="shared" si="54"/>
        <v>0</v>
      </c>
      <c r="P230" s="8">
        <f t="shared" si="54"/>
        <v>0</v>
      </c>
      <c r="Q230" s="8">
        <f t="shared" si="54"/>
        <v>0</v>
      </c>
      <c r="R230" s="8">
        <f t="shared" si="54"/>
        <v>0</v>
      </c>
      <c r="S230" s="8">
        <f t="shared" si="54"/>
        <v>0</v>
      </c>
      <c r="T230" s="8">
        <f t="shared" si="54"/>
        <v>0.25</v>
      </c>
      <c r="U230" s="8">
        <f t="shared" si="54"/>
        <v>0.5</v>
      </c>
      <c r="V230" s="8">
        <f t="shared" si="54"/>
        <v>0.75</v>
      </c>
      <c r="W230" s="8">
        <f t="shared" si="54"/>
        <v>1</v>
      </c>
      <c r="X230" s="8">
        <f t="shared" si="54"/>
        <v>1.25</v>
      </c>
      <c r="Y230" s="8">
        <f t="shared" si="54"/>
        <v>1.5</v>
      </c>
      <c r="Z230" s="8">
        <f t="shared" si="54"/>
        <v>1.75</v>
      </c>
      <c r="AA230" s="8">
        <f t="shared" si="54"/>
        <v>2</v>
      </c>
      <c r="AB230" s="8">
        <f t="shared" si="54"/>
        <v>2.25</v>
      </c>
      <c r="AC230" s="8">
        <f t="shared" si="54"/>
        <v>2.5</v>
      </c>
      <c r="AD230" s="8">
        <f t="shared" si="54"/>
        <v>2.75</v>
      </c>
      <c r="AE230" s="8">
        <f t="shared" si="54"/>
        <v>3</v>
      </c>
      <c r="AF230" s="8">
        <f t="shared" si="54"/>
        <v>3.25</v>
      </c>
      <c r="AG230" s="8">
        <f t="shared" si="54"/>
        <v>3.5</v>
      </c>
      <c r="AH230" s="8">
        <f t="shared" si="54"/>
        <v>3.75</v>
      </c>
      <c r="AI230" s="8">
        <f t="shared" si="54"/>
        <v>4</v>
      </c>
    </row>
    <row r="231">
      <c r="B231" s="9" t="s">
        <v>24</v>
      </c>
      <c r="C231" s="8">
        <f t="shared" ref="C231:AI231" si="55">max(0, -C229)</f>
        <v>4</v>
      </c>
      <c r="D231" s="8">
        <f t="shared" si="55"/>
        <v>3.75</v>
      </c>
      <c r="E231" s="8">
        <f t="shared" si="55"/>
        <v>3.5</v>
      </c>
      <c r="F231" s="8">
        <f t="shared" si="55"/>
        <v>3.25</v>
      </c>
      <c r="G231" s="8">
        <f t="shared" si="55"/>
        <v>3</v>
      </c>
      <c r="H231" s="8">
        <f t="shared" si="55"/>
        <v>2.75</v>
      </c>
      <c r="I231" s="8">
        <f t="shared" si="55"/>
        <v>2.5</v>
      </c>
      <c r="J231" s="8">
        <f t="shared" si="55"/>
        <v>2.25</v>
      </c>
      <c r="K231" s="8">
        <f t="shared" si="55"/>
        <v>2</v>
      </c>
      <c r="L231" s="8">
        <f t="shared" si="55"/>
        <v>1.75</v>
      </c>
      <c r="M231" s="8">
        <f t="shared" si="55"/>
        <v>1.5</v>
      </c>
      <c r="N231" s="8">
        <f t="shared" si="55"/>
        <v>1.25</v>
      </c>
      <c r="O231" s="8">
        <f t="shared" si="55"/>
        <v>1</v>
      </c>
      <c r="P231" s="8">
        <f t="shared" si="55"/>
        <v>0.75</v>
      </c>
      <c r="Q231" s="8">
        <f t="shared" si="55"/>
        <v>0.5</v>
      </c>
      <c r="R231" s="8">
        <f t="shared" si="55"/>
        <v>0.25</v>
      </c>
      <c r="S231" s="8">
        <f t="shared" si="55"/>
        <v>0</v>
      </c>
      <c r="T231" s="8">
        <f t="shared" si="55"/>
        <v>0</v>
      </c>
      <c r="U231" s="8">
        <f t="shared" si="55"/>
        <v>0</v>
      </c>
      <c r="V231" s="8">
        <f t="shared" si="55"/>
        <v>0</v>
      </c>
      <c r="W231" s="8">
        <f t="shared" si="55"/>
        <v>0</v>
      </c>
      <c r="X231" s="8">
        <f t="shared" si="55"/>
        <v>0</v>
      </c>
      <c r="Y231" s="8">
        <f t="shared" si="55"/>
        <v>0</v>
      </c>
      <c r="Z231" s="8">
        <f t="shared" si="55"/>
        <v>0</v>
      </c>
      <c r="AA231" s="8">
        <f t="shared" si="55"/>
        <v>0</v>
      </c>
      <c r="AB231" s="8">
        <f t="shared" si="55"/>
        <v>0</v>
      </c>
      <c r="AC231" s="8">
        <f t="shared" si="55"/>
        <v>0</v>
      </c>
      <c r="AD231" s="8">
        <f t="shared" si="55"/>
        <v>0</v>
      </c>
      <c r="AE231" s="8">
        <f t="shared" si="55"/>
        <v>0</v>
      </c>
      <c r="AF231" s="8">
        <f t="shared" si="55"/>
        <v>0</v>
      </c>
      <c r="AG231" s="8">
        <f t="shared" si="55"/>
        <v>0</v>
      </c>
      <c r="AH231" s="8">
        <f t="shared" si="55"/>
        <v>0</v>
      </c>
      <c r="AI231" s="8">
        <f t="shared" si="55"/>
        <v>0</v>
      </c>
    </row>
    <row r="232">
      <c r="B232" s="27" t="s">
        <v>25</v>
      </c>
      <c r="C232" s="8">
        <f t="shared" ref="C232:AI232" si="56">C230+C231</f>
        <v>4</v>
      </c>
      <c r="D232" s="8">
        <f t="shared" si="56"/>
        <v>3.75</v>
      </c>
      <c r="E232" s="8">
        <f t="shared" si="56"/>
        <v>3.5</v>
      </c>
      <c r="F232" s="8">
        <f t="shared" si="56"/>
        <v>3.25</v>
      </c>
      <c r="G232" s="8">
        <f t="shared" si="56"/>
        <v>3</v>
      </c>
      <c r="H232" s="8">
        <f t="shared" si="56"/>
        <v>2.75</v>
      </c>
      <c r="I232" s="8">
        <f t="shared" si="56"/>
        <v>2.5</v>
      </c>
      <c r="J232" s="8">
        <f t="shared" si="56"/>
        <v>2.25</v>
      </c>
      <c r="K232" s="8">
        <f t="shared" si="56"/>
        <v>2</v>
      </c>
      <c r="L232" s="8">
        <f t="shared" si="56"/>
        <v>1.75</v>
      </c>
      <c r="M232" s="8">
        <f t="shared" si="56"/>
        <v>1.5</v>
      </c>
      <c r="N232" s="8">
        <f t="shared" si="56"/>
        <v>1.25</v>
      </c>
      <c r="O232" s="8">
        <f t="shared" si="56"/>
        <v>1</v>
      </c>
      <c r="P232" s="8">
        <f t="shared" si="56"/>
        <v>0.75</v>
      </c>
      <c r="Q232" s="8">
        <f t="shared" si="56"/>
        <v>0.5</v>
      </c>
      <c r="R232" s="8">
        <f t="shared" si="56"/>
        <v>0.25</v>
      </c>
      <c r="S232" s="8">
        <f t="shared" si="56"/>
        <v>0</v>
      </c>
      <c r="T232" s="8">
        <f t="shared" si="56"/>
        <v>0.25</v>
      </c>
      <c r="U232" s="8">
        <f t="shared" si="56"/>
        <v>0.5</v>
      </c>
      <c r="V232" s="8">
        <f t="shared" si="56"/>
        <v>0.75</v>
      </c>
      <c r="W232" s="8">
        <f t="shared" si="56"/>
        <v>1</v>
      </c>
      <c r="X232" s="8">
        <f t="shared" si="56"/>
        <v>1.25</v>
      </c>
      <c r="Y232" s="8">
        <f t="shared" si="56"/>
        <v>1.5</v>
      </c>
      <c r="Z232" s="8">
        <f t="shared" si="56"/>
        <v>1.75</v>
      </c>
      <c r="AA232" s="8">
        <f t="shared" si="56"/>
        <v>2</v>
      </c>
      <c r="AB232" s="8">
        <f t="shared" si="56"/>
        <v>2.25</v>
      </c>
      <c r="AC232" s="8">
        <f t="shared" si="56"/>
        <v>2.5</v>
      </c>
      <c r="AD232" s="8">
        <f t="shared" si="56"/>
        <v>2.75</v>
      </c>
      <c r="AE232" s="8">
        <f t="shared" si="56"/>
        <v>3</v>
      </c>
      <c r="AF232" s="8">
        <f t="shared" si="56"/>
        <v>3.25</v>
      </c>
      <c r="AG232" s="8">
        <f t="shared" si="56"/>
        <v>3.5</v>
      </c>
      <c r="AH232" s="8">
        <f t="shared" si="56"/>
        <v>3.75</v>
      </c>
      <c r="AI232" s="8">
        <f t="shared" si="56"/>
        <v>4</v>
      </c>
    </row>
  </sheetData>
  <mergeCells count="9">
    <mergeCell ref="A183:Z183"/>
    <mergeCell ref="A227:Z227"/>
    <mergeCell ref="A1:Z1"/>
    <mergeCell ref="A6:Z6"/>
    <mergeCell ref="A11:Z11"/>
    <mergeCell ref="A32:Z32"/>
    <mergeCell ref="A88:Z88"/>
    <mergeCell ref="A117:Z117"/>
    <mergeCell ref="A150:Z150"/>
  </mergeCells>
  <conditionalFormatting sqref="D56:V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35:V5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