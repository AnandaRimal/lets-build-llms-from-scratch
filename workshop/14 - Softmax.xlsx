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<sst xmlns="http://schemas.openxmlformats.org/spreadsheetml/2006/main" count="82" uniqueCount="30">
  <si>
    <t xml:space="preserve">Logits vector </t>
  </si>
  <si>
    <t>logits</t>
  </si>
  <si>
    <t>(1,10)</t>
  </si>
  <si>
    <t xml:space="preserve">Logits -&gt; Linear ratio probabilities </t>
  </si>
  <si>
    <t>min</t>
  </si>
  <si>
    <t>logit - min</t>
  </si>
  <si>
    <t>sum</t>
  </si>
  <si>
    <t>linear</t>
  </si>
  <si>
    <t>position</t>
  </si>
  <si>
    <t>Exponent: Intro</t>
  </si>
  <si>
    <t>number</t>
  </si>
  <si>
    <t>exp</t>
  </si>
  <si>
    <t>Softmax: Vector</t>
  </si>
  <si>
    <t>sum(exp)</t>
  </si>
  <si>
    <t>softmax</t>
  </si>
  <si>
    <t xml:space="preserve">Softmax vs. linear </t>
  </si>
  <si>
    <t>[Exercise] Note how Softmax pushes high probabilities higher,</t>
  </si>
  <si>
    <t xml:space="preserve">and low probabilities lower. </t>
  </si>
  <si>
    <t>Softmax Matrix</t>
  </si>
  <si>
    <t>Matrix1</t>
  </si>
  <si>
    <t>⬇</t>
  </si>
  <si>
    <t>Matrix2</t>
  </si>
  <si>
    <t>M1 @ M2</t>
  </si>
  <si>
    <t>➡</t>
  </si>
  <si>
    <t>RowSum</t>
  </si>
  <si>
    <t>Exponent</t>
  </si>
  <si>
    <t>SoftMax</t>
  </si>
  <si>
    <t xml:space="preserve">  Linear ratio probabilities </t>
  </si>
  <si>
    <t xml:space="preserve">Exponent </t>
  </si>
  <si>
    <t>Softmax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</si>
</sst>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left" readingOrder="0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/>
    </xf>
    <xf borderId="0" fillId="0" fontId="2" numFmtId="0" xfId="0" applyFont="1"/>
    <xf borderId="0" fillId="0" fontId="2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5" fillId="0" fontId="4" numFmtId="0" xfId="0" applyBorder="1" applyFont="1"/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11" fillId="0" fontId="2" numFmtId="164" xfId="0" applyAlignment="1" applyBorder="1" applyFont="1" applyNumberFormat="1">
      <alignment horizontal="center"/>
    </xf>
    <xf borderId="9" fillId="0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 vs. logit / sum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Answers'!$B$17</c:f>
            </c:strRef>
          </c:tx>
          <c:cat>
            <c:strRef>
              <c:f>'wo Answers'!$C$18:$L$18</c:f>
            </c:strRef>
          </c:cat>
          <c:val>
            <c:numRef>
              <c:f>'wo Answers'!$C$17:$L$17</c:f>
              <c:numCache/>
            </c:numRef>
          </c:val>
        </c:ser>
        <c:axId val="591027450"/>
        <c:axId val="581997880"/>
      </c:barChart>
      <c:catAx>
        <c:axId val="591027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997880"/>
      </c:catAx>
      <c:valAx>
        <c:axId val="5819978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91027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352919798"/>
        <c:axId val="784661060"/>
      </c:lineChart>
      <c:catAx>
        <c:axId val="1352919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661060"/>
      </c:catAx>
      <c:valAx>
        <c:axId val="7846610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5291979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Answers'!$B$68</c:f>
            </c:strRef>
          </c:tx>
          <c:cat>
            <c:strRef>
              <c:f>'wo Answers'!$C$69:$L$69</c:f>
            </c:strRef>
          </c:cat>
          <c:val>
            <c:numRef>
              <c:f>'wo Answers'!$C$68:$L$68</c:f>
              <c:numCache/>
            </c:numRef>
          </c:val>
        </c:ser>
        <c:axId val="1018587291"/>
        <c:axId val="1485204504"/>
      </c:barChart>
      <c:catAx>
        <c:axId val="1018587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204504"/>
      </c:catAx>
      <c:valAx>
        <c:axId val="148520450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18587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vs. linear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 Answers'!$B$94</c:f>
            </c:strRef>
          </c:tx>
          <c:cat>
            <c:strRef>
              <c:f>'wo Answers'!$C$95:$L$95</c:f>
            </c:strRef>
          </c:cat>
          <c:val>
            <c:numRef>
              <c:f>'wo Answers'!$C$94:$L$94</c:f>
              <c:numCache/>
            </c:numRef>
          </c:val>
        </c:ser>
        <c:ser>
          <c:idx val="1"/>
          <c:order val="1"/>
          <c:tx>
            <c:strRef>
              <c:f>'wo Answers'!$B$93</c:f>
            </c:strRef>
          </c:tx>
          <c:cat>
            <c:strRef>
              <c:f>'wo Answers'!$C$95:$L$95</c:f>
            </c:strRef>
          </c:cat>
          <c:val>
            <c:numRef>
              <c:f>'wo Answers'!$C$93:$L$93</c:f>
              <c:numCache/>
            </c:numRef>
          </c:val>
        </c:ser>
        <c:axId val="1083296101"/>
        <c:axId val="155244118"/>
      </c:barChart>
      <c:catAx>
        <c:axId val="1083296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e/sum(e)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44118"/>
      </c:catAx>
      <c:valAx>
        <c:axId val="1552441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83296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position vs. logit / sum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 Answers'!$B$17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Answers'!$C$18:$L$18</c:f>
            </c:strRef>
          </c:cat>
          <c:val>
            <c:numRef>
              <c:f>'w Answers'!$C$17:$L$17</c:f>
              <c:numCache/>
            </c:numRef>
          </c:val>
        </c:ser>
        <c:axId val="137732802"/>
        <c:axId val="1127650286"/>
      </c:barChart>
      <c:catAx>
        <c:axId val="137732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650286"/>
      </c:catAx>
      <c:valAx>
        <c:axId val="1127650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32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 Answers'!$C$38:$O$38</c:f>
            </c:strRef>
          </c:cat>
          <c:val>
            <c:numRef>
              <c:f>'w Answers'!$C$38:$O$38</c:f>
              <c:numCache/>
            </c:numRef>
          </c:val>
          <c:smooth val="1"/>
        </c:ser>
        <c:axId val="1328307590"/>
        <c:axId val="1158237195"/>
      </c:lineChart>
      <c:catAx>
        <c:axId val="1328307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237195"/>
      </c:catAx>
      <c:valAx>
        <c:axId val="1158237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30759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by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 Answers'!$B$68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Answers'!$C$69:$L$69</c:f>
            </c:strRef>
          </c:cat>
          <c:val>
            <c:numRef>
              <c:f>'w Answers'!$C$68:$L$68</c:f>
              <c:numCache/>
            </c:numRef>
          </c:val>
        </c:ser>
        <c:axId val="2120989306"/>
        <c:axId val="1617743610"/>
      </c:barChart>
      <c:catAx>
        <c:axId val="2120989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743610"/>
      </c:catAx>
      <c:valAx>
        <c:axId val="1617743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989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Softmax vs. linear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Softmax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Answers'!$C$95:$L$95</c:f>
            </c:strRef>
          </c:cat>
          <c:val>
            <c:numRef>
              <c:f>'w Answers'!$C$94:$L$94</c:f>
              <c:numCache/>
            </c:numRef>
          </c:val>
        </c:ser>
        <c:ser>
          <c:idx val="1"/>
          <c:order val="1"/>
          <c:tx>
            <c:v>linear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'w Answers'!$C$95:$L$95</c:f>
            </c:strRef>
          </c:cat>
          <c:val>
            <c:numRef>
              <c:f>'w Answers'!$C$93:$L$93</c:f>
              <c:numCache/>
            </c:numRef>
          </c:val>
        </c:ser>
        <c:axId val="1778292994"/>
        <c:axId val="34111038"/>
      </c:barChart>
      <c:catAx>
        <c:axId val="1778292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e/sum(e)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11038"/>
      </c:catAx>
      <c:valAx>
        <c:axId val="34111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292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18</xdr:row>
      <xdr:rowOff>142875</xdr:rowOff>
    </xdr:from>
    <xdr:ext cx="4772025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41</xdr:row>
      <xdr:rowOff>85725</xdr:rowOff>
    </xdr:from>
    <xdr:ext cx="81915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96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276225</xdr:colOff>
      <xdr:row>62</xdr:row>
      <xdr:rowOff>209550</xdr:rowOff>
    </xdr:from>
    <xdr:ext cx="3581400" cy="8572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18</xdr:row>
      <xdr:rowOff>142875</xdr:rowOff>
    </xdr:from>
    <xdr:ext cx="4772025" cy="2952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41</xdr:row>
      <xdr:rowOff>85725</xdr:rowOff>
    </xdr:from>
    <xdr:ext cx="81915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70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96</xdr:row>
      <xdr:rowOff>95250</xdr:rowOff>
    </xdr:from>
    <xdr:ext cx="42100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276225</xdr:colOff>
      <xdr:row>62</xdr:row>
      <xdr:rowOff>209550</xdr:rowOff>
    </xdr:from>
    <xdr:ext cx="3581400" cy="8572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>norminv(rand(), 0, 7)</f>
        <v>12.05107552</v>
      </c>
      <c r="D4" s="6"/>
      <c r="E4" s="6"/>
      <c r="F4" s="6"/>
      <c r="G4" s="6"/>
      <c r="H4" s="6"/>
      <c r="I4" s="6"/>
      <c r="J4" s="6"/>
      <c r="K4" s="6"/>
      <c r="L4" s="7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1</v>
      </c>
      <c r="C9" s="9">
        <f t="shared" ref="C9:L9" si="1">C$4</f>
        <v>12.05107552</v>
      </c>
      <c r="D9" s="8" t="str">
        <f t="shared" si="1"/>
        <v/>
      </c>
      <c r="E9" s="8" t="str">
        <f t="shared" si="1"/>
        <v/>
      </c>
      <c r="F9" s="8" t="str">
        <f t="shared" si="1"/>
        <v/>
      </c>
      <c r="G9" s="8" t="str">
        <f t="shared" si="1"/>
        <v/>
      </c>
      <c r="H9" s="8" t="str">
        <f t="shared" si="1"/>
        <v/>
      </c>
      <c r="I9" s="8" t="str">
        <f t="shared" si="1"/>
        <v/>
      </c>
      <c r="J9" s="8" t="str">
        <f t="shared" si="1"/>
        <v/>
      </c>
      <c r="K9" s="8" t="str">
        <f t="shared" si="1"/>
        <v/>
      </c>
      <c r="L9" s="8" t="str">
        <f t="shared" si="1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4</v>
      </c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  <c r="S11" s="2"/>
      <c r="T11" s="2"/>
      <c r="U11" s="2"/>
      <c r="V11" s="2"/>
      <c r="W11" s="2"/>
      <c r="X11" s="2"/>
      <c r="Y11" s="2"/>
      <c r="Z11" s="2"/>
    </row>
    <row r="12">
      <c r="B12" s="4"/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  <c r="S12" s="2"/>
      <c r="T12" s="2"/>
      <c r="U12" s="2"/>
      <c r="V12" s="2"/>
      <c r="W12" s="2"/>
      <c r="X12" s="2"/>
      <c r="Y12" s="2"/>
      <c r="Z12" s="2"/>
    </row>
    <row r="13">
      <c r="B13" s="4" t="s">
        <v>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8</v>
      </c>
      <c r="C18" s="2">
        <f t="array" ref="C18:L18">SEQUENCE(1, 10, 1)</f>
        <v>1</v>
      </c>
      <c r="D18" s="2">
        <v>2.0</v>
      </c>
      <c r="E18" s="2">
        <v>3.0</v>
      </c>
      <c r="F18" s="2">
        <v>4.0</v>
      </c>
      <c r="G18" s="2">
        <v>5.0</v>
      </c>
      <c r="H18" s="2">
        <v>6.0</v>
      </c>
      <c r="I18" s="2">
        <v>7.0</v>
      </c>
      <c r="J18" s="2">
        <v>8.0</v>
      </c>
      <c r="K18" s="2">
        <v>9.0</v>
      </c>
      <c r="L18" s="2">
        <v>10.0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9</v>
      </c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4" t="s">
        <v>10</v>
      </c>
      <c r="C38" s="12">
        <f t="array" ref="C38:L38">SEQUENCE(1, 10, -2, 0.3)</f>
        <v>-2</v>
      </c>
      <c r="D38" s="12">
        <v>-1.7</v>
      </c>
      <c r="E38" s="12">
        <v>-1.4</v>
      </c>
      <c r="F38" s="12">
        <v>-1.0999999999999999</v>
      </c>
      <c r="G38" s="12">
        <v>-0.7999999999999998</v>
      </c>
      <c r="H38" s="12">
        <v>-0.49999999999999983</v>
      </c>
      <c r="I38" s="12">
        <v>-0.19999999999999984</v>
      </c>
      <c r="J38" s="12">
        <v>0.10000000000000014</v>
      </c>
      <c r="K38" s="12">
        <v>0.40000000000000013</v>
      </c>
      <c r="L38" s="12">
        <v>0.7000000000000002</v>
      </c>
      <c r="M38" s="2">
        <f t="array" ref="M38:V38">SEQUENCE(1, 10, 1)</f>
        <v>1</v>
      </c>
      <c r="N38" s="2">
        <v>2.0</v>
      </c>
      <c r="O38" s="2">
        <v>3.0</v>
      </c>
      <c r="P38" s="2">
        <v>4.0</v>
      </c>
      <c r="Q38" s="2">
        <v>5.0</v>
      </c>
      <c r="R38" s="2">
        <v>6.0</v>
      </c>
      <c r="S38" s="2">
        <v>7.0</v>
      </c>
      <c r="T38" s="2">
        <v>8.0</v>
      </c>
      <c r="U38" s="2">
        <v>9.0</v>
      </c>
      <c r="V38" s="2">
        <v>10.0</v>
      </c>
      <c r="W38" s="2"/>
      <c r="X38" s="2"/>
      <c r="Y38" s="2"/>
      <c r="Z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11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12</v>
      </c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4" t="s">
        <v>1</v>
      </c>
      <c r="C63" s="8">
        <f t="shared" ref="C63:L63" si="2">C$4</f>
        <v>12.05107552</v>
      </c>
      <c r="D63" s="8" t="str">
        <f t="shared" si="2"/>
        <v/>
      </c>
      <c r="E63" s="8" t="str">
        <f t="shared" si="2"/>
        <v/>
      </c>
      <c r="F63" s="8" t="str">
        <f t="shared" si="2"/>
        <v/>
      </c>
      <c r="G63" s="8" t="str">
        <f t="shared" si="2"/>
        <v/>
      </c>
      <c r="H63" s="8" t="str">
        <f t="shared" si="2"/>
        <v/>
      </c>
      <c r="I63" s="8" t="str">
        <f t="shared" si="2"/>
        <v/>
      </c>
      <c r="J63" s="8" t="str">
        <f t="shared" si="2"/>
        <v/>
      </c>
      <c r="K63" s="8" t="str">
        <f t="shared" si="2"/>
        <v/>
      </c>
      <c r="L63" s="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4" t="s">
        <v>11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4" t="s">
        <v>13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4" t="s">
        <v>14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4" t="s">
        <v>8</v>
      </c>
      <c r="C69" s="2">
        <f t="array" ref="C69:L69">SEQUENCE(1, 10, 1)</f>
        <v>1</v>
      </c>
      <c r="D69" s="2">
        <v>2.0</v>
      </c>
      <c r="E69" s="2">
        <v>3.0</v>
      </c>
      <c r="F69" s="2">
        <v>4.0</v>
      </c>
      <c r="G69" s="2">
        <v>5.0</v>
      </c>
      <c r="H69" s="2">
        <v>6.0</v>
      </c>
      <c r="I69" s="2">
        <v>7.0</v>
      </c>
      <c r="J69" s="2">
        <v>8.0</v>
      </c>
      <c r="K69" s="2">
        <v>9.0</v>
      </c>
      <c r="L69" s="2">
        <v>10.0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15</v>
      </c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4" t="s">
        <v>1</v>
      </c>
      <c r="C92" s="14">
        <f t="shared" ref="C92:L92" si="3">C$4</f>
        <v>12.05107552</v>
      </c>
      <c r="D92" s="14" t="str">
        <f t="shared" si="3"/>
        <v/>
      </c>
      <c r="E92" s="14" t="str">
        <f t="shared" si="3"/>
        <v/>
      </c>
      <c r="F92" s="14" t="str">
        <f t="shared" si="3"/>
        <v/>
      </c>
      <c r="G92" s="14" t="str">
        <f t="shared" si="3"/>
        <v/>
      </c>
      <c r="H92" s="14" t="str">
        <f t="shared" si="3"/>
        <v/>
      </c>
      <c r="I92" s="14" t="str">
        <f t="shared" si="3"/>
        <v/>
      </c>
      <c r="J92" s="14" t="str">
        <f t="shared" si="3"/>
        <v/>
      </c>
      <c r="K92" s="14" t="str">
        <f t="shared" si="3"/>
        <v/>
      </c>
      <c r="L92" s="14" t="str">
        <f t="shared" si="3"/>
        <v/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4" t="s">
        <v>7</v>
      </c>
      <c r="C93" s="11" t="str">
        <f t="shared" ref="C93:L93" si="4">C17</f>
        <v/>
      </c>
      <c r="D93" s="11" t="str">
        <f t="shared" si="4"/>
        <v/>
      </c>
      <c r="E93" s="11" t="str">
        <f t="shared" si="4"/>
        <v/>
      </c>
      <c r="F93" s="11" t="str">
        <f t="shared" si="4"/>
        <v/>
      </c>
      <c r="G93" s="11" t="str">
        <f t="shared" si="4"/>
        <v/>
      </c>
      <c r="H93" s="11" t="str">
        <f t="shared" si="4"/>
        <v/>
      </c>
      <c r="I93" s="11" t="str">
        <f t="shared" si="4"/>
        <v/>
      </c>
      <c r="J93" s="11" t="str">
        <f t="shared" si="4"/>
        <v/>
      </c>
      <c r="K93" s="11" t="str">
        <f t="shared" si="4"/>
        <v/>
      </c>
      <c r="L93" s="11" t="str">
        <f t="shared" si="4"/>
        <v/>
      </c>
      <c r="M93" s="2"/>
      <c r="N93" s="15" t="s">
        <v>16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14</v>
      </c>
      <c r="C94" s="11" t="str">
        <f t="shared" ref="C94:L94" si="5">C68</f>
        <v/>
      </c>
      <c r="D94" s="11" t="str">
        <f t="shared" si="5"/>
        <v/>
      </c>
      <c r="E94" s="11" t="str">
        <f t="shared" si="5"/>
        <v/>
      </c>
      <c r="F94" s="11" t="str">
        <f t="shared" si="5"/>
        <v/>
      </c>
      <c r="G94" s="11" t="str">
        <f t="shared" si="5"/>
        <v/>
      </c>
      <c r="H94" s="11" t="str">
        <f t="shared" si="5"/>
        <v/>
      </c>
      <c r="I94" s="11" t="str">
        <f t="shared" si="5"/>
        <v/>
      </c>
      <c r="J94" s="11" t="str">
        <f t="shared" si="5"/>
        <v/>
      </c>
      <c r="K94" s="11" t="str">
        <f t="shared" si="5"/>
        <v/>
      </c>
      <c r="L94" s="11" t="str">
        <f t="shared" si="5"/>
        <v/>
      </c>
      <c r="M94" s="2"/>
      <c r="N94" s="15" t="s">
        <v>17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8</v>
      </c>
      <c r="C95" s="2">
        <v>1.0</v>
      </c>
      <c r="D95" s="2">
        <v>2.0</v>
      </c>
      <c r="E95" s="2">
        <v>3.0</v>
      </c>
      <c r="F95" s="2">
        <v>4.0</v>
      </c>
      <c r="G95" s="2">
        <v>5.0</v>
      </c>
      <c r="H95" s="2">
        <v>6.0</v>
      </c>
      <c r="I95" s="2">
        <v>7.0</v>
      </c>
      <c r="J95" s="2">
        <v>8.0</v>
      </c>
      <c r="K95" s="2">
        <v>9.0</v>
      </c>
      <c r="L95" s="2">
        <v>10.0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18</v>
      </c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4" t="s">
        <v>19</v>
      </c>
      <c r="J118" s="8">
        <f t="shared" ref="J118:N118" si="6">rand()</f>
        <v>0.3505516547</v>
      </c>
      <c r="K118" s="8">
        <f t="shared" si="6"/>
        <v>0.7636979868</v>
      </c>
      <c r="L118" s="8">
        <f t="shared" si="6"/>
        <v>0.8067031633</v>
      </c>
      <c r="M118" s="8">
        <f t="shared" si="6"/>
        <v>0.2425016193</v>
      </c>
      <c r="N118" s="8">
        <f t="shared" si="6"/>
        <v>0.7728564205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1"/>
      <c r="J119" s="8">
        <f t="shared" ref="J119:N119" si="7">rand()</f>
        <v>0.3154535589</v>
      </c>
      <c r="K119" s="8">
        <f t="shared" si="7"/>
        <v>0.9042137161</v>
      </c>
      <c r="L119" s="8">
        <f t="shared" si="7"/>
        <v>0.4268293842</v>
      </c>
      <c r="M119" s="8">
        <f t="shared" si="7"/>
        <v>0.1869444839</v>
      </c>
      <c r="N119" s="8">
        <f t="shared" si="7"/>
        <v>0.7026665748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1"/>
      <c r="J120" s="8">
        <f t="shared" ref="J120:N120" si="8">rand()</f>
        <v>0.2295003414</v>
      </c>
      <c r="K120" s="8">
        <f t="shared" si="8"/>
        <v>0.9991257211</v>
      </c>
      <c r="L120" s="8">
        <f t="shared" si="8"/>
        <v>0.4041841499</v>
      </c>
      <c r="M120" s="8">
        <f t="shared" si="8"/>
        <v>0.4383419788</v>
      </c>
      <c r="N120" s="8">
        <f t="shared" si="8"/>
        <v>0.7603209352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1"/>
      <c r="J121" s="8">
        <f t="shared" ref="J121:N121" si="9">rand()</f>
        <v>0.03700369821</v>
      </c>
      <c r="K121" s="8">
        <f t="shared" si="9"/>
        <v>0.08308066501</v>
      </c>
      <c r="L121" s="8">
        <f t="shared" si="9"/>
        <v>0.4137708331</v>
      </c>
      <c r="M121" s="8">
        <f t="shared" si="9"/>
        <v>0.7368322338</v>
      </c>
      <c r="N121" s="8">
        <f t="shared" si="9"/>
        <v>0.4352633659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1"/>
      <c r="J122" s="8">
        <f t="shared" ref="J122:N122" si="10">rand()</f>
        <v>0.5634398834</v>
      </c>
      <c r="K122" s="8">
        <f t="shared" si="10"/>
        <v>0.9062964644</v>
      </c>
      <c r="L122" s="8">
        <f t="shared" si="10"/>
        <v>0.1120064103</v>
      </c>
      <c r="M122" s="8">
        <f t="shared" si="10"/>
        <v>0.3572531555</v>
      </c>
      <c r="N122" s="8">
        <f t="shared" si="10"/>
        <v>0.1012172847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0" t="s">
        <v>20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0" t="s">
        <v>20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4" t="s">
        <v>21</v>
      </c>
      <c r="C125" s="8">
        <f t="shared" ref="C125:G125" si="11">NORMINV(rand(),0, 1)</f>
        <v>-0.2148918562</v>
      </c>
      <c r="D125" s="8">
        <f t="shared" si="11"/>
        <v>1.044813547</v>
      </c>
      <c r="E125" s="8">
        <f t="shared" si="11"/>
        <v>0.7617011547</v>
      </c>
      <c r="F125" s="8">
        <f t="shared" si="11"/>
        <v>2.162001469</v>
      </c>
      <c r="G125" s="8">
        <f t="shared" si="11"/>
        <v>-1.02526792</v>
      </c>
      <c r="H125" s="2"/>
      <c r="I125" s="4" t="s">
        <v>22</v>
      </c>
      <c r="J125" s="8">
        <f t="array" ref="J125:N129">MMULT(C125:G129,J118:N122)</f>
        <v>-0.06860465597</v>
      </c>
      <c r="K125" s="8">
        <v>0.7920813070778844</v>
      </c>
      <c r="L125" s="8">
        <v>1.360207286486563</v>
      </c>
      <c r="M125" s="8">
        <v>1.7038482701649857</v>
      </c>
      <c r="N125" s="8">
        <v>1.9844775417399798</v>
      </c>
      <c r="O125" s="2"/>
      <c r="P125" s="2"/>
      <c r="Q125" s="2"/>
      <c r="R125" s="2" t="str">
        <f>IFERROR(__xludf.DUMMYFUNCTION("SPARKLINE((J125-MIN($J125:$N125))/SUMPRODUCT($J125:$N125-MIN($J125:$N125)), {""charttype"",""bar""; ""max"",1; ""color1"",""#4285F4""})"),"")</f>
        <v/>
      </c>
      <c r="S125" s="2" t="str">
        <f>IFERROR(__xludf.DUMMYFUNCTION("SPARKLINE((K125-MIN($J125:$N125))/SUMPRODUCT($J125:$N125-MIN($J125:$N125)), {""charttype"",""bar""; ""max"",1; ""color1"",""#4285F4""})"),"")</f>
        <v/>
      </c>
      <c r="T125" s="2" t="str">
        <f>IFERROR(__xludf.DUMMYFUNCTION("SPARKLINE((L125-MIN($J125:$N125))/SUMPRODUCT($J125:$N125-MIN($J125:$N125)), {""charttype"",""bar""; ""max"",1; ""color1"",""#4285F4""})"),"")</f>
        <v/>
      </c>
      <c r="U125" s="2" t="str">
        <f>IFERROR(__xludf.DUMMYFUNCTION("SPARKLINE((M125-MIN($J125:$N125))/SUMPRODUCT($J125:$N125-MIN($J125:$N125)), {""charttype"",""bar""; ""max"",1; ""color1"",""#4285F4""})"),"")</f>
        <v/>
      </c>
      <c r="V125" s="2" t="str">
        <f>IFERROR(__xludf.DUMMYFUNCTION("SPARKLINE((N125-MIN($J125:$N125))/SUMPRODUCT($J125:$N125-MIN($J125:$N125)), {""charttype"",""bar""; ""max"",1; ""color1"",""#4285F4""})"),"")</f>
        <v/>
      </c>
      <c r="W125" s="2"/>
      <c r="X125" s="2"/>
      <c r="Y125" s="2"/>
      <c r="Z125" s="2"/>
    </row>
    <row r="126">
      <c r="B126" s="1"/>
      <c r="C126" s="8">
        <f t="shared" ref="C126:G126" si="12">NORMINV(rand(),0, 1)</f>
        <v>-1.452342419</v>
      </c>
      <c r="D126" s="8">
        <f t="shared" si="12"/>
        <v>-0.9649487897</v>
      </c>
      <c r="E126" s="8">
        <f t="shared" si="12"/>
        <v>0.007734056667</v>
      </c>
      <c r="F126" s="8">
        <f t="shared" si="12"/>
        <v>0.4998559769</v>
      </c>
      <c r="G126" s="8">
        <f t="shared" si="12"/>
        <v>-0.5433116506</v>
      </c>
      <c r="H126" s="2"/>
      <c r="I126" s="2"/>
      <c r="J126" s="8">
        <v>-1.0993695329441013</v>
      </c>
      <c r="K126" s="8">
        <v>-2.4248166788207905</v>
      </c>
      <c r="L126" s="8">
        <v>-1.43438030205248</v>
      </c>
      <c r="M126" s="8">
        <v>-0.35498688576875137</v>
      </c>
      <c r="N126" s="8">
        <v>-1.6320325942790974</v>
      </c>
      <c r="O126" s="2"/>
      <c r="P126" s="2"/>
      <c r="Q126" s="2"/>
      <c r="R126" s="2" t="str">
        <f>IFERROR(__xludf.DUMMYFUNCTION("SPARKLINE((J126-MIN($J126:$N126))/SUMPRODUCT($J126:$N126-MIN($J126:$N126)), {""charttype"",""bar""; ""max"",1; ""color1"",""#4285F4""})"),"")</f>
        <v/>
      </c>
      <c r="S126" s="2" t="str">
        <f>IFERROR(__xludf.DUMMYFUNCTION("SPARKLINE((K126-MIN($J126:$N126))/SUMPRODUCT($J126:$N126-MIN($J126:$N126)), {""charttype"",""bar""; ""max"",1; ""color1"",""#4285F4""})"),"")</f>
        <v/>
      </c>
      <c r="T126" s="2" t="str">
        <f>IFERROR(__xludf.DUMMYFUNCTION("SPARKLINE((L126-MIN($J126:$N126))/SUMPRODUCT($J126:$N126-MIN($J126:$N126)), {""charttype"",""bar""; ""max"",1; ""color1"",""#4285F4""})"),"")</f>
        <v/>
      </c>
      <c r="U126" s="2" t="str">
        <f>IFERROR(__xludf.DUMMYFUNCTION("SPARKLINE((M126-MIN($J126:$N126))/SUMPRODUCT($J126:$N126-MIN($J126:$N126)), {""charttype"",""bar""; ""max"",1; ""color1"",""#4285F4""})"),"")</f>
        <v/>
      </c>
      <c r="V126" s="2" t="str">
        <f>IFERROR(__xludf.DUMMYFUNCTION("SPARKLINE((N126-MIN($J126:$N126))/SUMPRODUCT($J126:$N126-MIN($J126:$N126)), {""charttype"",""bar""; ""max"",1; ""color1"",""#4285F4""})"),"")</f>
        <v/>
      </c>
      <c r="W126" s="2"/>
      <c r="X126" s="2"/>
      <c r="Y126" s="2"/>
      <c r="Z126" s="2"/>
    </row>
    <row r="127">
      <c r="B127" s="1"/>
      <c r="C127" s="8">
        <f t="shared" ref="C127:G127" si="13">NORMINV(rand(),0, 1)</f>
        <v>-0.4134020667</v>
      </c>
      <c r="D127" s="8">
        <f t="shared" si="13"/>
        <v>-0.3695664642</v>
      </c>
      <c r="E127" s="8">
        <f t="shared" si="13"/>
        <v>-0.4172919537</v>
      </c>
      <c r="F127" s="8">
        <f t="shared" si="13"/>
        <v>-0.6068400432</v>
      </c>
      <c r="G127" s="8">
        <f t="shared" si="13"/>
        <v>0.6437108664</v>
      </c>
      <c r="H127" s="10" t="s">
        <v>23</v>
      </c>
      <c r="I127" s="10" t="s">
        <v>23</v>
      </c>
      <c r="J127" s="8">
        <v>-0.017031431075241965</v>
      </c>
      <c r="K127" s="8">
        <v>-0.5338323081732669</v>
      </c>
      <c r="L127" s="8">
        <v>-0.8388903416659358</v>
      </c>
      <c r="M127" s="8">
        <v>-0.569427229522367</v>
      </c>
      <c r="N127" s="8">
        <v>-1.0954388252312524</v>
      </c>
      <c r="O127" s="2"/>
      <c r="P127" s="2"/>
      <c r="Q127" s="2"/>
      <c r="R127" s="2" t="str">
        <f>IFERROR(__xludf.DUMMYFUNCTION("SPARKLINE((J127-MIN($J127:$N127))/SUMPRODUCT($J127:$N127-MIN($J127:$N127)), {""charttype"",""bar""; ""max"",1; ""color1"",""#4285F4""})"),"")</f>
        <v/>
      </c>
      <c r="S127" s="2" t="str">
        <f>IFERROR(__xludf.DUMMYFUNCTION("SPARKLINE((K127-MIN($J127:$N127))/SUMPRODUCT($J127:$N127-MIN($J127:$N127)), {""charttype"",""bar""; ""max"",1; ""color1"",""#4285F4""})"),"")</f>
        <v/>
      </c>
      <c r="T127" s="2" t="str">
        <f>IFERROR(__xludf.DUMMYFUNCTION("SPARKLINE((L127-MIN($J127:$N127))/SUMPRODUCT($J127:$N127-MIN($J127:$N127)), {""charttype"",""bar""; ""max"",1; ""color1"",""#4285F4""})"),"")</f>
        <v/>
      </c>
      <c r="U127" s="2" t="str">
        <f>IFERROR(__xludf.DUMMYFUNCTION("SPARKLINE((M127-MIN($J127:$N127))/SUMPRODUCT($J127:$N127-MIN($J127:$N127)), {""charttype"",""bar""; ""max"",1; ""color1"",""#4285F4""})"),"")</f>
        <v/>
      </c>
      <c r="V127" s="2" t="str">
        <f>IFERROR(__xludf.DUMMYFUNCTION("SPARKLINE((N127-MIN($J127:$N127))/SUMPRODUCT($J127:$N127-MIN($J127:$N127)), {""charttype"",""bar""; ""max"",1; ""color1"",""#4285F4""})"),"")</f>
        <v/>
      </c>
      <c r="W127" s="2"/>
      <c r="X127" s="2"/>
      <c r="Y127" s="2"/>
      <c r="Z127" s="2"/>
    </row>
    <row r="128">
      <c r="B128" s="1"/>
      <c r="C128" s="8">
        <f t="shared" ref="C128:G128" si="14">NORMINV(rand(),0, 1)</f>
        <v>1.314238646</v>
      </c>
      <c r="D128" s="8">
        <f t="shared" si="14"/>
        <v>-2.87180188</v>
      </c>
      <c r="E128" s="8">
        <f t="shared" si="14"/>
        <v>-0.6170331905</v>
      </c>
      <c r="F128" s="8">
        <f t="shared" si="14"/>
        <v>2.061824324</v>
      </c>
      <c r="G128" s="8">
        <f t="shared" si="14"/>
        <v>-1.402575748</v>
      </c>
      <c r="H128" s="2"/>
      <c r="I128" s="2"/>
      <c r="J128" s="8">
        <v>-1.3007929100688167</v>
      </c>
      <c r="K128" s="8">
        <v>-3.3093866781054606</v>
      </c>
      <c r="L128" s="8">
        <v>0.2810613032316106</v>
      </c>
      <c r="M128" s="8">
        <v>0.5295099402810091</v>
      </c>
      <c r="N128" s="8">
        <v>-0.7158729809299044</v>
      </c>
      <c r="O128" s="2"/>
      <c r="P128" s="2"/>
      <c r="Q128" s="2"/>
      <c r="R128" s="2" t="str">
        <f>IFERROR(__xludf.DUMMYFUNCTION("SPARKLINE((J128-MIN($J128:$N128))/SUMPRODUCT($J128:$N128-MIN($J128:$N128)), {""charttype"",""bar""; ""max"",1; ""color1"",""#4285F4""})"),"")</f>
        <v/>
      </c>
      <c r="S128" s="2" t="str">
        <f>IFERROR(__xludf.DUMMYFUNCTION("SPARKLINE((K128-MIN($J128:$N128))/SUMPRODUCT($J128:$N128-MIN($J128:$N128)), {""charttype"",""bar""; ""max"",1; ""color1"",""#4285F4""})"),"")</f>
        <v/>
      </c>
      <c r="T128" s="2" t="str">
        <f>IFERROR(__xludf.DUMMYFUNCTION("SPARKLINE((L128-MIN($J128:$N128))/SUMPRODUCT($J128:$N128-MIN($J128:$N128)), {""charttype"",""bar""; ""max"",1; ""color1"",""#4285F4""})"),"")</f>
        <v/>
      </c>
      <c r="U128" s="2" t="str">
        <f>IFERROR(__xludf.DUMMYFUNCTION("SPARKLINE((M128-MIN($J128:$N128))/SUMPRODUCT($J128:$N128-MIN($J128:$N128)), {""charttype"",""bar""; ""max"",1; ""color1"",""#4285F4""})"),"")</f>
        <v/>
      </c>
      <c r="V128" s="2" t="str">
        <f>IFERROR(__xludf.DUMMYFUNCTION("SPARKLINE((N128-MIN($J128:$N128))/SUMPRODUCT($J128:$N128-MIN($J128:$N128)), {""charttype"",""bar""; ""max"",1; ""color1"",""#4285F4""})"),"")</f>
        <v/>
      </c>
      <c r="W128" s="2"/>
      <c r="X128" s="2"/>
      <c r="Y128" s="2"/>
      <c r="Z128" s="2"/>
    </row>
    <row r="129">
      <c r="B129" s="1"/>
      <c r="C129" s="8">
        <f t="shared" ref="C129:G129" si="15">NORMINV(rand(),0, 1)</f>
        <v>-0.3780300902</v>
      </c>
      <c r="D129" s="8">
        <f t="shared" si="15"/>
        <v>-1.485335816</v>
      </c>
      <c r="E129" s="8">
        <f t="shared" si="15"/>
        <v>-0.3362975457</v>
      </c>
      <c r="F129" s="8">
        <f t="shared" si="15"/>
        <v>-0.1253079829</v>
      </c>
      <c r="G129" s="8">
        <f t="shared" si="15"/>
        <v>-1.057992098</v>
      </c>
      <c r="H129" s="2"/>
      <c r="I129" s="2"/>
      <c r="J129" s="8">
        <v>-1.2790057476903898</v>
      </c>
      <c r="K129" s="8">
        <v>-2.9370305328317343</v>
      </c>
      <c r="L129" s="8">
        <v>-1.2452198643892867</v>
      </c>
      <c r="M129" s="8">
        <v>-0.9870635547217965</v>
      </c>
      <c r="N129" s="8">
        <v>-1.7531819388965615</v>
      </c>
      <c r="O129" s="2"/>
      <c r="P129" s="2"/>
      <c r="Q129" s="2"/>
      <c r="R129" s="2" t="str">
        <f>IFERROR(__xludf.DUMMYFUNCTION("SPARKLINE((J129-MIN($J129:$N129))/SUMPRODUCT($J129:$N129-MIN($J129:$N129)), {""charttype"",""bar""; ""max"",1; ""color1"",""#4285F4""})"),"")</f>
        <v/>
      </c>
      <c r="S129" s="2" t="str">
        <f>IFERROR(__xludf.DUMMYFUNCTION("SPARKLINE((K129-MIN($J129:$N129))/SUMPRODUCT($J129:$N129-MIN($J129:$N129)), {""charttype"",""bar""; ""max"",1; ""color1"",""#4285F4""})"),"")</f>
        <v/>
      </c>
      <c r="T129" s="2" t="str">
        <f>IFERROR(__xludf.DUMMYFUNCTION("SPARKLINE((L129-MIN($J129:$N129))/SUMPRODUCT($J129:$N129-MIN($J129:$N129)), {""charttype"",""bar""; ""max"",1; ""color1"",""#4285F4""})"),"")</f>
        <v/>
      </c>
      <c r="U129" s="2" t="str">
        <f>IFERROR(__xludf.DUMMYFUNCTION("SPARKLINE((M129-MIN($J129:$N129))/SUMPRODUCT($J129:$N129-MIN($J129:$N129)), {""charttype"",""bar""; ""max"",1; ""color1"",""#4285F4""})"),"")</f>
        <v/>
      </c>
      <c r="V129" s="2" t="str">
        <f>IFERROR(__xludf.DUMMYFUNCTION("SPARKLINE((N129-MIN($J129:$N129))/SUMPRODUCT($J129:$N129-MIN($J129:$N129)), {""charttype"",""bar""; ""max"",1; ""color1"",""#4285F4""})"),"")</f>
        <v/>
      </c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0" t="s">
        <v>20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0" t="s">
        <v>20</v>
      </c>
      <c r="M131" s="2"/>
      <c r="N131" s="2"/>
      <c r="O131" s="16" t="s">
        <v>24</v>
      </c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4" t="s">
        <v>25</v>
      </c>
      <c r="J132" s="18"/>
      <c r="K132" s="19"/>
      <c r="L132" s="19"/>
      <c r="M132" s="19"/>
      <c r="N132" s="20"/>
      <c r="O132" s="21"/>
      <c r="P132" s="2"/>
      <c r="Q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2"/>
      <c r="K133" s="8"/>
      <c r="L133" s="8"/>
      <c r="M133" s="8"/>
      <c r="N133" s="23"/>
      <c r="O133" s="21"/>
      <c r="P133" s="2"/>
      <c r="Q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2"/>
      <c r="K134" s="8"/>
      <c r="L134" s="8"/>
      <c r="M134" s="8"/>
      <c r="N134" s="23"/>
      <c r="O134" s="21"/>
      <c r="P134" s="2"/>
      <c r="Q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2"/>
      <c r="K135" s="8"/>
      <c r="L135" s="8"/>
      <c r="M135" s="8"/>
      <c r="N135" s="23"/>
      <c r="O135" s="21"/>
      <c r="P135" s="2"/>
      <c r="Q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4"/>
      <c r="K136" s="25"/>
      <c r="L136" s="25"/>
      <c r="M136" s="25"/>
      <c r="N136" s="26"/>
      <c r="O136" s="21"/>
      <c r="P136" s="2"/>
      <c r="Q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0" t="s">
        <v>20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J138" s="2"/>
      <c r="K138" s="2"/>
      <c r="L138" s="10" t="s">
        <v>20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4" t="s">
        <v>26</v>
      </c>
      <c r="J139" s="11"/>
      <c r="K139" s="11"/>
      <c r="L139" s="11"/>
      <c r="M139" s="11"/>
      <c r="N139" s="11"/>
      <c r="O139" s="2"/>
      <c r="P139" s="2"/>
      <c r="Q139" s="2"/>
      <c r="R139" s="2" t="str">
        <f>IFERROR(__xludf.DUMMYFUNCTION("SPARKLINE(J132/$O132, {""charttype"",""bar""; ""max"",1; ""color1"",""#4285F4""})"),"#DIV/0!")</f>
        <v>#DIV/0!</v>
      </c>
      <c r="S139" s="2" t="str">
        <f>IFERROR(__xludf.DUMMYFUNCTION("SPARKLINE(K132/$O132, {""charttype"",""bar""; ""max"",1; ""color1"",""#4285F4""})"),"#DIV/0!")</f>
        <v>#DIV/0!</v>
      </c>
      <c r="T139" s="2" t="str">
        <f>IFERROR(__xludf.DUMMYFUNCTION("SPARKLINE(L132/$O132, {""charttype"",""bar""; ""max"",1; ""color1"",""#4285F4""})"),"#DIV/0!")</f>
        <v>#DIV/0!</v>
      </c>
      <c r="U139" s="2" t="str">
        <f>IFERROR(__xludf.DUMMYFUNCTION("SPARKLINE(M132/$O132, {""charttype"",""bar""; ""max"",1; ""color1"",""#4285F4""})"),"#DIV/0!")</f>
        <v>#DIV/0!</v>
      </c>
      <c r="V139" s="2" t="str">
        <f>IFERROR(__xludf.DUMMYFUNCTION("SPARKLINE(N132/$O132, {""charttype"",""bar""; ""max"",1; ""color1"",""#4285F4""})"),"#DIV/0!")</f>
        <v>#DIV/0!</v>
      </c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11"/>
      <c r="K140" s="11"/>
      <c r="L140" s="11"/>
      <c r="M140" s="11"/>
      <c r="N140" s="11"/>
      <c r="O140" s="2"/>
      <c r="P140" s="2"/>
      <c r="Q140" s="2"/>
      <c r="R140" s="2" t="str">
        <f>IFERROR(__xludf.DUMMYFUNCTION("SPARKLINE(J133/$O133, {""charttype"",""bar""; ""max"",1; ""color1"",""#4285F4""})"),"#DIV/0!")</f>
        <v>#DIV/0!</v>
      </c>
      <c r="S140" s="2" t="str">
        <f>IFERROR(__xludf.DUMMYFUNCTION("SPARKLINE(K133/$O133, {""charttype"",""bar""; ""max"",1; ""color1"",""#4285F4""})"),"#DIV/0!")</f>
        <v>#DIV/0!</v>
      </c>
      <c r="T140" s="2" t="str">
        <f>IFERROR(__xludf.DUMMYFUNCTION("SPARKLINE(L133/$O133, {""charttype"",""bar""; ""max"",1; ""color1"",""#4285F4""})"),"#DIV/0!")</f>
        <v>#DIV/0!</v>
      </c>
      <c r="U140" s="2" t="str">
        <f>IFERROR(__xludf.DUMMYFUNCTION("SPARKLINE(M133/$O133, {""charttype"",""bar""; ""max"",1; ""color1"",""#4285F4""})"),"#DIV/0!")</f>
        <v>#DIV/0!</v>
      </c>
      <c r="V140" s="2" t="str">
        <f>IFERROR(__xludf.DUMMYFUNCTION("SPARKLINE(N133/$O133, {""charttype"",""bar""; ""max"",1; ""color1"",""#4285F4""})"),"#DIV/0!")</f>
        <v>#DIV/0!</v>
      </c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11"/>
      <c r="K141" s="11"/>
      <c r="L141" s="11"/>
      <c r="M141" s="11"/>
      <c r="N141" s="11"/>
      <c r="O141" s="2"/>
      <c r="P141" s="2"/>
      <c r="Q141" s="2"/>
      <c r="R141" s="2" t="str">
        <f>IFERROR(__xludf.DUMMYFUNCTION("SPARKLINE(J134/$O134, {""charttype"",""bar""; ""max"",1; ""color1"",""#4285F4""})"),"#DIV/0!")</f>
        <v>#DIV/0!</v>
      </c>
      <c r="S141" s="2" t="str">
        <f>IFERROR(__xludf.DUMMYFUNCTION("SPARKLINE(K134/$O134, {""charttype"",""bar""; ""max"",1; ""color1"",""#4285F4""})"),"#DIV/0!")</f>
        <v>#DIV/0!</v>
      </c>
      <c r="T141" s="2" t="str">
        <f>IFERROR(__xludf.DUMMYFUNCTION("SPARKLINE(L134/$O134, {""charttype"",""bar""; ""max"",1; ""color1"",""#4285F4""})"),"#DIV/0!")</f>
        <v>#DIV/0!</v>
      </c>
      <c r="U141" s="2" t="str">
        <f>IFERROR(__xludf.DUMMYFUNCTION("SPARKLINE(M134/$O134, {""charttype"",""bar""; ""max"",1; ""color1"",""#4285F4""})"),"#DIV/0!")</f>
        <v>#DIV/0!</v>
      </c>
      <c r="V141" s="2" t="str">
        <f>IFERROR(__xludf.DUMMYFUNCTION("SPARKLINE(N134/$O134, {""charttype"",""bar""; ""max"",1; ""color1"",""#4285F4""})"),"#DIV/0!")</f>
        <v>#DIV/0!</v>
      </c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11"/>
      <c r="K142" s="11"/>
      <c r="L142" s="11"/>
      <c r="M142" s="11"/>
      <c r="N142" s="11"/>
      <c r="O142" s="2"/>
      <c r="P142" s="2"/>
      <c r="Q142" s="2"/>
      <c r="R142" s="2" t="str">
        <f>IFERROR(__xludf.DUMMYFUNCTION("SPARKLINE(J135/$O135, {""charttype"",""bar""; ""max"",1; ""color1"",""#4285F4""})"),"#DIV/0!")</f>
        <v>#DIV/0!</v>
      </c>
      <c r="S142" s="2" t="str">
        <f>IFERROR(__xludf.DUMMYFUNCTION("SPARKLINE(K135/$O135, {""charttype"",""bar""; ""max"",1; ""color1"",""#4285F4""})"),"#DIV/0!")</f>
        <v>#DIV/0!</v>
      </c>
      <c r="T142" s="2" t="str">
        <f>IFERROR(__xludf.DUMMYFUNCTION("SPARKLINE(L135/$O135, {""charttype"",""bar""; ""max"",1; ""color1"",""#4285F4""})"),"#DIV/0!")</f>
        <v>#DIV/0!</v>
      </c>
      <c r="U142" s="2" t="str">
        <f>IFERROR(__xludf.DUMMYFUNCTION("SPARKLINE(M135/$O135, {""charttype"",""bar""; ""max"",1; ""color1"",""#4285F4""})"),"#DIV/0!")</f>
        <v>#DIV/0!</v>
      </c>
      <c r="V142" s="2" t="str">
        <f>IFERROR(__xludf.DUMMYFUNCTION("SPARKLINE(N135/$O135, {""charttype"",""bar""; ""max"",1; ""color1"",""#4285F4""})"),"#DIV/0!")</f>
        <v>#DIV/0!</v>
      </c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11"/>
      <c r="K143" s="11"/>
      <c r="L143" s="11"/>
      <c r="M143" s="11"/>
      <c r="N143" s="11"/>
      <c r="O143" s="2"/>
      <c r="P143" s="2"/>
      <c r="Q143" s="2"/>
      <c r="R143" s="2" t="str">
        <f>IFERROR(__xludf.DUMMYFUNCTION("SPARKLINE(J136/$O136, {""charttype"",""bar""; ""max"",1; ""color1"",""#4285F4""})"),"#DIV/0!")</f>
        <v>#DIV/0!</v>
      </c>
      <c r="S143" s="2" t="str">
        <f>IFERROR(__xludf.DUMMYFUNCTION("SPARKLINE(K136/$O136, {""charttype"",""bar""; ""max"",1; ""color1"",""#4285F4""})"),"#DIV/0!")</f>
        <v>#DIV/0!</v>
      </c>
      <c r="T143" s="2" t="str">
        <f>IFERROR(__xludf.DUMMYFUNCTION("SPARKLINE(L136/$O136, {""charttype"",""bar""; ""max"",1; ""color1"",""#4285F4""})"),"#DIV/0!")</f>
        <v>#DIV/0!</v>
      </c>
      <c r="U143" s="2" t="str">
        <f>IFERROR(__xludf.DUMMYFUNCTION("SPARKLINE(M136/$O136, {""charttype"",""bar""; ""max"",1; ""color1"",""#4285F4""})"),"#DIV/0!")</f>
        <v>#DIV/0!</v>
      </c>
      <c r="V143" s="2" t="str">
        <f>IFERROR(__xludf.DUMMYFUNCTION("SPARKLINE(N136/$O136, {""charttype"",""bar""; ""max"",1; ""color1"",""#4285F4""})"),"#DIV/0!")</f>
        <v>#DIV/0!</v>
      </c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7">
    <mergeCell ref="A2:Z2"/>
    <mergeCell ref="A7:Z7"/>
    <mergeCell ref="A36:Z36"/>
    <mergeCell ref="A61:Z61"/>
    <mergeCell ref="A90:Z90"/>
    <mergeCell ref="A116:Z116"/>
    <mergeCell ref="O131:P131"/>
  </mergeCells>
  <conditionalFormatting sqref="J132:N136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2">
      <colorScale>
        <cfvo type="min"/>
        <cfvo type="max"/>
        <color rgb="FFFFFFFF"/>
        <color rgb="FF57BB8A"/>
      </colorScale>
    </cfRule>
  </conditionalFormatting>
  <conditionalFormatting sqref="C125:G1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8:N12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38"/>
    <col customWidth="1" min="3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8">
        <f t="shared" ref="C4:L4" si="1">norminv(rand(), 0, 7)</f>
        <v>4.597491301</v>
      </c>
      <c r="D4" s="8">
        <f t="shared" si="1"/>
        <v>-0.0955195804</v>
      </c>
      <c r="E4" s="8">
        <f t="shared" si="1"/>
        <v>-3.06527202</v>
      </c>
      <c r="F4" s="8">
        <f t="shared" si="1"/>
        <v>1.052612617</v>
      </c>
      <c r="G4" s="8">
        <f t="shared" si="1"/>
        <v>-4.221393979</v>
      </c>
      <c r="H4" s="8">
        <f t="shared" si="1"/>
        <v>17.91524599</v>
      </c>
      <c r="I4" s="8">
        <f t="shared" si="1"/>
        <v>13.29701538</v>
      </c>
      <c r="J4" s="8">
        <f t="shared" si="1"/>
        <v>2.098409653</v>
      </c>
      <c r="K4" s="8">
        <f t="shared" si="1"/>
        <v>-1.743969749</v>
      </c>
      <c r="L4" s="8">
        <f t="shared" si="1"/>
        <v>5.983850729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27</v>
      </c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" t="s">
        <v>1</v>
      </c>
      <c r="C9" s="8">
        <f t="shared" ref="C9:L9" si="2">C$4</f>
        <v>4.597491301</v>
      </c>
      <c r="D9" s="8">
        <f t="shared" si="2"/>
        <v>-0.0955195804</v>
      </c>
      <c r="E9" s="8">
        <f t="shared" si="2"/>
        <v>-3.06527202</v>
      </c>
      <c r="F9" s="8">
        <f t="shared" si="2"/>
        <v>1.052612617</v>
      </c>
      <c r="G9" s="8">
        <f t="shared" si="2"/>
        <v>-4.221393979</v>
      </c>
      <c r="H9" s="8">
        <f t="shared" si="2"/>
        <v>17.91524599</v>
      </c>
      <c r="I9" s="8">
        <f t="shared" si="2"/>
        <v>13.29701538</v>
      </c>
      <c r="J9" s="8">
        <f t="shared" si="2"/>
        <v>2.098409653</v>
      </c>
      <c r="K9" s="8">
        <f t="shared" si="2"/>
        <v>-1.743969749</v>
      </c>
      <c r="L9" s="8">
        <f t="shared" si="2"/>
        <v>5.983850729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" t="s">
        <v>4</v>
      </c>
      <c r="C11" s="8">
        <f>min(C9:L9)</f>
        <v>-4.221393979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  <c r="S11" s="2"/>
      <c r="T11" s="2"/>
      <c r="U11" s="2"/>
      <c r="V11" s="2"/>
      <c r="W11" s="2"/>
      <c r="X11" s="2"/>
      <c r="Y11" s="2"/>
      <c r="Z11" s="2"/>
    </row>
    <row r="12">
      <c r="B12" s="4"/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  <c r="S12" s="2"/>
      <c r="T12" s="2"/>
      <c r="U12" s="2"/>
      <c r="V12" s="2"/>
      <c r="W12" s="2"/>
      <c r="X12" s="2"/>
      <c r="Y12" s="2"/>
      <c r="Z12" s="2"/>
    </row>
    <row r="13">
      <c r="B13" s="4" t="s">
        <v>5</v>
      </c>
      <c r="C13" s="8">
        <f t="shared" ref="C13:L13" si="3">C9-$C$11</f>
        <v>8.818885279</v>
      </c>
      <c r="D13" s="8">
        <f t="shared" si="3"/>
        <v>4.125874398</v>
      </c>
      <c r="E13" s="8">
        <f t="shared" si="3"/>
        <v>1.156121959</v>
      </c>
      <c r="F13" s="8">
        <f t="shared" si="3"/>
        <v>5.274006596</v>
      </c>
      <c r="G13" s="8">
        <f t="shared" si="3"/>
        <v>0</v>
      </c>
      <c r="H13" s="8">
        <f t="shared" si="3"/>
        <v>22.13663997</v>
      </c>
      <c r="I13" s="8">
        <f t="shared" si="3"/>
        <v>17.51840936</v>
      </c>
      <c r="J13" s="8">
        <f t="shared" si="3"/>
        <v>6.319803632</v>
      </c>
      <c r="K13" s="8">
        <f t="shared" si="3"/>
        <v>2.47742423</v>
      </c>
      <c r="L13" s="8">
        <f t="shared" si="3"/>
        <v>10.20524471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6</v>
      </c>
      <c r="C15" s="8">
        <f>sum(C13:L13)</f>
        <v>78.03241013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4" t="s">
        <v>7</v>
      </c>
      <c r="C17" s="11">
        <f t="shared" ref="C17:L17" si="4">C13/$C15</f>
        <v>0.1130156721</v>
      </c>
      <c r="D17" s="11">
        <f t="shared" si="4"/>
        <v>0.05287385577</v>
      </c>
      <c r="E17" s="11">
        <f t="shared" si="4"/>
        <v>0.01481592017</v>
      </c>
      <c r="F17" s="11">
        <f t="shared" si="4"/>
        <v>0.06758738564</v>
      </c>
      <c r="G17" s="11">
        <f t="shared" si="4"/>
        <v>0</v>
      </c>
      <c r="H17" s="11">
        <f t="shared" si="4"/>
        <v>0.2836852012</v>
      </c>
      <c r="I17" s="11">
        <f t="shared" si="4"/>
        <v>0.2245017081</v>
      </c>
      <c r="J17" s="11">
        <f t="shared" si="4"/>
        <v>0.08098947119</v>
      </c>
      <c r="K17" s="11">
        <f t="shared" si="4"/>
        <v>0.03174865707</v>
      </c>
      <c r="L17" s="11">
        <f t="shared" si="4"/>
        <v>0.1307821287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4" t="s">
        <v>8</v>
      </c>
      <c r="C18" s="2">
        <f t="array" ref="C18:L18">SEQUENCE(1, 10, 1)</f>
        <v>1</v>
      </c>
      <c r="D18" s="2">
        <v>2.0</v>
      </c>
      <c r="E18" s="2">
        <v>3.0</v>
      </c>
      <c r="F18" s="2">
        <v>4.0</v>
      </c>
      <c r="G18" s="2">
        <v>5.0</v>
      </c>
      <c r="H18" s="2">
        <v>6.0</v>
      </c>
      <c r="I18" s="2">
        <v>7.0</v>
      </c>
      <c r="J18" s="2">
        <v>8.0</v>
      </c>
      <c r="K18" s="2">
        <v>9.0</v>
      </c>
      <c r="L18" s="2">
        <v>10.0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28</v>
      </c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4" t="s">
        <v>10</v>
      </c>
      <c r="C38" s="12">
        <f t="array" ref="C38:L38">SEQUENCE(1, 10, -2, 0.3)</f>
        <v>-2</v>
      </c>
      <c r="D38" s="12">
        <v>-1.7</v>
      </c>
      <c r="E38" s="12">
        <v>-1.4</v>
      </c>
      <c r="F38" s="12">
        <v>-1.0999999999999999</v>
      </c>
      <c r="G38" s="12">
        <v>-0.7999999999999998</v>
      </c>
      <c r="H38" s="12">
        <v>-0.49999999999999983</v>
      </c>
      <c r="I38" s="12">
        <v>-0.19999999999999984</v>
      </c>
      <c r="J38" s="12">
        <v>0.10000000000000014</v>
      </c>
      <c r="K38" s="12">
        <v>0.40000000000000013</v>
      </c>
      <c r="L38" s="12">
        <v>0.7000000000000002</v>
      </c>
      <c r="M38" s="2">
        <f t="array" ref="M38:V38">SEQUENCE(1, 10, 1)</f>
        <v>1</v>
      </c>
      <c r="N38" s="2">
        <v>2.0</v>
      </c>
      <c r="O38" s="2">
        <v>3.0</v>
      </c>
      <c r="P38" s="2">
        <v>4.0</v>
      </c>
      <c r="Q38" s="2">
        <v>5.0</v>
      </c>
      <c r="R38" s="2">
        <v>6.0</v>
      </c>
      <c r="S38" s="2">
        <v>7.0</v>
      </c>
      <c r="T38" s="2">
        <v>8.0</v>
      </c>
      <c r="U38" s="2">
        <v>9.0</v>
      </c>
      <c r="V38" s="2">
        <v>10.0</v>
      </c>
      <c r="W38" s="2"/>
      <c r="X38" s="2"/>
      <c r="Y38" s="2"/>
      <c r="Z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4" t="s">
        <v>11</v>
      </c>
      <c r="C40" s="8">
        <f t="shared" ref="C40:V40" si="5">exp(C38)</f>
        <v>0.1353352832</v>
      </c>
      <c r="D40" s="8">
        <f t="shared" si="5"/>
        <v>0.1826835241</v>
      </c>
      <c r="E40" s="8">
        <f t="shared" si="5"/>
        <v>0.2465969639</v>
      </c>
      <c r="F40" s="8">
        <f t="shared" si="5"/>
        <v>0.3328710837</v>
      </c>
      <c r="G40" s="8">
        <f t="shared" si="5"/>
        <v>0.4493289641</v>
      </c>
      <c r="H40" s="8">
        <f t="shared" si="5"/>
        <v>0.6065306597</v>
      </c>
      <c r="I40" s="8">
        <f t="shared" si="5"/>
        <v>0.8187307531</v>
      </c>
      <c r="J40" s="8">
        <f t="shared" si="5"/>
        <v>1.105170918</v>
      </c>
      <c r="K40" s="8">
        <f t="shared" si="5"/>
        <v>1.491824698</v>
      </c>
      <c r="L40" s="8">
        <f t="shared" si="5"/>
        <v>2.013752707</v>
      </c>
      <c r="M40" s="8">
        <f t="shared" si="5"/>
        <v>2.718281828</v>
      </c>
      <c r="N40" s="8">
        <f t="shared" si="5"/>
        <v>7.389056099</v>
      </c>
      <c r="O40" s="8">
        <f t="shared" si="5"/>
        <v>20.08553692</v>
      </c>
      <c r="P40" s="8">
        <f t="shared" si="5"/>
        <v>54.59815003</v>
      </c>
      <c r="Q40" s="8">
        <f t="shared" si="5"/>
        <v>148.4131591</v>
      </c>
      <c r="R40" s="8">
        <f t="shared" si="5"/>
        <v>403.4287935</v>
      </c>
      <c r="S40" s="8">
        <f t="shared" si="5"/>
        <v>1096.633158</v>
      </c>
      <c r="T40" s="8">
        <f t="shared" si="5"/>
        <v>2980.957987</v>
      </c>
      <c r="U40" s="8">
        <f t="shared" si="5"/>
        <v>8103.083928</v>
      </c>
      <c r="V40" s="8">
        <f t="shared" si="5"/>
        <v>22026.46579</v>
      </c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29</v>
      </c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4" t="s">
        <v>1</v>
      </c>
      <c r="C63" s="8">
        <f t="shared" ref="C63:L63" si="6">C$4</f>
        <v>4.597491301</v>
      </c>
      <c r="D63" s="8">
        <f t="shared" si="6"/>
        <v>-0.0955195804</v>
      </c>
      <c r="E63" s="8">
        <f t="shared" si="6"/>
        <v>-3.06527202</v>
      </c>
      <c r="F63" s="8">
        <f t="shared" si="6"/>
        <v>1.052612617</v>
      </c>
      <c r="G63" s="8">
        <f t="shared" si="6"/>
        <v>-4.221393979</v>
      </c>
      <c r="H63" s="8">
        <f t="shared" si="6"/>
        <v>17.91524599</v>
      </c>
      <c r="I63" s="8">
        <f t="shared" si="6"/>
        <v>13.29701538</v>
      </c>
      <c r="J63" s="8">
        <f t="shared" si="6"/>
        <v>2.098409653</v>
      </c>
      <c r="K63" s="8">
        <f t="shared" si="6"/>
        <v>-1.743969749</v>
      </c>
      <c r="L63" s="8">
        <f t="shared" si="6"/>
        <v>5.983850729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4" t="s">
        <v>11</v>
      </c>
      <c r="C65" s="13">
        <f t="shared" ref="C65:L65" si="7">exp(C63)</f>
        <v>99.23505219</v>
      </c>
      <c r="D65" s="13">
        <f t="shared" si="7"/>
        <v>0.9089005648</v>
      </c>
      <c r="E65" s="13">
        <f t="shared" si="7"/>
        <v>0.04664115282</v>
      </c>
      <c r="F65" s="13">
        <f t="shared" si="7"/>
        <v>2.865126827</v>
      </c>
      <c r="G65" s="13">
        <f t="shared" si="7"/>
        <v>0.01467816918</v>
      </c>
      <c r="H65" s="13">
        <f t="shared" si="7"/>
        <v>60324325.64</v>
      </c>
      <c r="I65" s="13">
        <f t="shared" si="7"/>
        <v>595415.8692</v>
      </c>
      <c r="J65" s="13">
        <f t="shared" si="7"/>
        <v>8.153193193</v>
      </c>
      <c r="K65" s="13">
        <f t="shared" si="7"/>
        <v>0.1748250099</v>
      </c>
      <c r="L65" s="13">
        <f t="shared" si="7"/>
        <v>396.9660376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4" t="s">
        <v>13</v>
      </c>
      <c r="C66" s="13">
        <f>sum(C65:L65)</f>
        <v>60920249.87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4" t="s">
        <v>14</v>
      </c>
      <c r="C68" s="11">
        <f t="shared" ref="C68:L68" si="8">C65/$C66</f>
        <v>0.000001628933768</v>
      </c>
      <c r="D68" s="11">
        <f t="shared" si="8"/>
        <v>0.00000001491951472</v>
      </c>
      <c r="E68" s="11">
        <f t="shared" si="8"/>
        <v>0.0000000007656100052</v>
      </c>
      <c r="F68" s="11">
        <f t="shared" si="8"/>
        <v>0.00000004703077931</v>
      </c>
      <c r="G68" s="11">
        <f t="shared" si="8"/>
        <v>0.0000000002409407252</v>
      </c>
      <c r="H68" s="11">
        <f t="shared" si="8"/>
        <v>0.9902179614</v>
      </c>
      <c r="I68" s="11">
        <f t="shared" si="8"/>
        <v>0.009773693811</v>
      </c>
      <c r="J68" s="11">
        <f t="shared" si="8"/>
        <v>0.0000001338338764</v>
      </c>
      <c r="K68" s="11">
        <f t="shared" si="8"/>
        <v>0.000000002869735601</v>
      </c>
      <c r="L68" s="11">
        <f t="shared" si="8"/>
        <v>0.00000651615905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4" t="s">
        <v>8</v>
      </c>
      <c r="C69" s="2">
        <f t="array" ref="C69:L69">SEQUENCE(1, 10, 1)</f>
        <v>1</v>
      </c>
      <c r="D69" s="2">
        <v>2.0</v>
      </c>
      <c r="E69" s="2">
        <v>3.0</v>
      </c>
      <c r="F69" s="2">
        <v>4.0</v>
      </c>
      <c r="G69" s="2">
        <v>5.0</v>
      </c>
      <c r="H69" s="2">
        <v>6.0</v>
      </c>
      <c r="I69" s="2">
        <v>7.0</v>
      </c>
      <c r="J69" s="2">
        <v>8.0</v>
      </c>
      <c r="K69" s="2">
        <v>9.0</v>
      </c>
      <c r="L69" s="2">
        <v>10.0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15</v>
      </c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4" t="s">
        <v>1</v>
      </c>
      <c r="C92" s="14">
        <f t="shared" ref="C92:L92" si="9">C$4</f>
        <v>4.597491301</v>
      </c>
      <c r="D92" s="14">
        <f t="shared" si="9"/>
        <v>-0.0955195804</v>
      </c>
      <c r="E92" s="14">
        <f t="shared" si="9"/>
        <v>-3.06527202</v>
      </c>
      <c r="F92" s="14">
        <f t="shared" si="9"/>
        <v>1.052612617</v>
      </c>
      <c r="G92" s="14">
        <f t="shared" si="9"/>
        <v>-4.221393979</v>
      </c>
      <c r="H92" s="14">
        <f t="shared" si="9"/>
        <v>17.91524599</v>
      </c>
      <c r="I92" s="14">
        <f t="shared" si="9"/>
        <v>13.29701538</v>
      </c>
      <c r="J92" s="14">
        <f t="shared" si="9"/>
        <v>2.098409653</v>
      </c>
      <c r="K92" s="14">
        <f t="shared" si="9"/>
        <v>-1.743969749</v>
      </c>
      <c r="L92" s="14">
        <f t="shared" si="9"/>
        <v>5.983850729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4" t="s">
        <v>7</v>
      </c>
      <c r="C93" s="11">
        <f t="shared" ref="C93:L93" si="10">C17</f>
        <v>0.1130156721</v>
      </c>
      <c r="D93" s="11">
        <f t="shared" si="10"/>
        <v>0.05287385577</v>
      </c>
      <c r="E93" s="11">
        <f t="shared" si="10"/>
        <v>0.01481592017</v>
      </c>
      <c r="F93" s="11">
        <f t="shared" si="10"/>
        <v>0.06758738564</v>
      </c>
      <c r="G93" s="11">
        <f t="shared" si="10"/>
        <v>0</v>
      </c>
      <c r="H93" s="11">
        <f t="shared" si="10"/>
        <v>0.2836852012</v>
      </c>
      <c r="I93" s="11">
        <f t="shared" si="10"/>
        <v>0.2245017081</v>
      </c>
      <c r="J93" s="11">
        <f t="shared" si="10"/>
        <v>0.08098947119</v>
      </c>
      <c r="K93" s="11">
        <f t="shared" si="10"/>
        <v>0.03174865707</v>
      </c>
      <c r="L93" s="11">
        <f t="shared" si="10"/>
        <v>0.1307821287</v>
      </c>
      <c r="M93" s="2"/>
      <c r="N93" s="15" t="s">
        <v>16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4" t="s">
        <v>14</v>
      </c>
      <c r="C94" s="11">
        <f t="shared" ref="C94:L94" si="11">C68</f>
        <v>0.000001628933768</v>
      </c>
      <c r="D94" s="11">
        <f t="shared" si="11"/>
        <v>0.00000001491951472</v>
      </c>
      <c r="E94" s="11">
        <f t="shared" si="11"/>
        <v>0.0000000007656100052</v>
      </c>
      <c r="F94" s="11">
        <f t="shared" si="11"/>
        <v>0.00000004703077931</v>
      </c>
      <c r="G94" s="11">
        <f t="shared" si="11"/>
        <v>0.0000000002409407252</v>
      </c>
      <c r="H94" s="11">
        <f t="shared" si="11"/>
        <v>0.9902179614</v>
      </c>
      <c r="I94" s="11">
        <f t="shared" si="11"/>
        <v>0.009773693811</v>
      </c>
      <c r="J94" s="11">
        <f t="shared" si="11"/>
        <v>0.0000001338338764</v>
      </c>
      <c r="K94" s="11">
        <f t="shared" si="11"/>
        <v>0.000000002869735601</v>
      </c>
      <c r="L94" s="11">
        <f t="shared" si="11"/>
        <v>0.00000651615905</v>
      </c>
      <c r="M94" s="2"/>
      <c r="N94" s="15" t="s">
        <v>17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4" t="s">
        <v>8</v>
      </c>
      <c r="C95" s="2">
        <v>1.0</v>
      </c>
      <c r="D95" s="2">
        <v>2.0</v>
      </c>
      <c r="E95" s="2">
        <v>3.0</v>
      </c>
      <c r="F95" s="2">
        <v>4.0</v>
      </c>
      <c r="G95" s="2">
        <v>5.0</v>
      </c>
      <c r="H95" s="2">
        <v>6.0</v>
      </c>
      <c r="I95" s="2">
        <v>7.0</v>
      </c>
      <c r="J95" s="2">
        <v>8.0</v>
      </c>
      <c r="K95" s="2">
        <v>9.0</v>
      </c>
      <c r="L95" s="2">
        <v>10.0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18</v>
      </c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4" t="s">
        <v>19</v>
      </c>
      <c r="J118" s="8">
        <f t="shared" ref="J118:N118" si="12">rand()</f>
        <v>0.05295839259</v>
      </c>
      <c r="K118" s="8">
        <f t="shared" si="12"/>
        <v>0.6053986399</v>
      </c>
      <c r="L118" s="8">
        <f t="shared" si="12"/>
        <v>0.4947118055</v>
      </c>
      <c r="M118" s="8">
        <f t="shared" si="12"/>
        <v>0.2049918833</v>
      </c>
      <c r="N118" s="8">
        <f t="shared" si="12"/>
        <v>0.5068438286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1"/>
      <c r="J119" s="8">
        <f t="shared" ref="J119:N119" si="13">rand()</f>
        <v>0.8162936822</v>
      </c>
      <c r="K119" s="8">
        <f t="shared" si="13"/>
        <v>0.01909523983</v>
      </c>
      <c r="L119" s="8">
        <f t="shared" si="13"/>
        <v>0.1306456625</v>
      </c>
      <c r="M119" s="8">
        <f t="shared" si="13"/>
        <v>0.2152075865</v>
      </c>
      <c r="N119" s="8">
        <f t="shared" si="13"/>
        <v>0.2263412664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1"/>
      <c r="J120" s="8">
        <f t="shared" ref="J120:N120" si="14">rand()</f>
        <v>0.2274233647</v>
      </c>
      <c r="K120" s="8">
        <f t="shared" si="14"/>
        <v>0.4603518422</v>
      </c>
      <c r="L120" s="8">
        <f t="shared" si="14"/>
        <v>0.1117756708</v>
      </c>
      <c r="M120" s="8">
        <f t="shared" si="14"/>
        <v>0.5301532333</v>
      </c>
      <c r="N120" s="8">
        <f t="shared" si="14"/>
        <v>0.3615963115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1"/>
      <c r="J121" s="8">
        <f t="shared" ref="J121:N121" si="15">rand()</f>
        <v>0.1305260708</v>
      </c>
      <c r="K121" s="8">
        <f t="shared" si="15"/>
        <v>0.7423925884</v>
      </c>
      <c r="L121" s="8">
        <f t="shared" si="15"/>
        <v>0.3316551913</v>
      </c>
      <c r="M121" s="8">
        <f t="shared" si="15"/>
        <v>0.3517316728</v>
      </c>
      <c r="N121" s="8">
        <f t="shared" si="15"/>
        <v>0.1630302196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1"/>
      <c r="J122" s="8">
        <f t="shared" ref="J122:N122" si="16">rand()</f>
        <v>0.8632396374</v>
      </c>
      <c r="K122" s="8">
        <f t="shared" si="16"/>
        <v>0.3474028646</v>
      </c>
      <c r="L122" s="8">
        <f t="shared" si="16"/>
        <v>0.3660080228</v>
      </c>
      <c r="M122" s="8">
        <f t="shared" si="16"/>
        <v>0.981118847</v>
      </c>
      <c r="N122" s="8">
        <f t="shared" si="16"/>
        <v>0.8189884115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0" t="s">
        <v>20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0" t="s">
        <v>20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4" t="s">
        <v>21</v>
      </c>
      <c r="C125" s="8">
        <f t="shared" ref="C125:G125" si="17">NORMINV(rand(),0, 1)</f>
        <v>-0.9526975408</v>
      </c>
      <c r="D125" s="8">
        <f t="shared" si="17"/>
        <v>2.414323745</v>
      </c>
      <c r="E125" s="8">
        <f t="shared" si="17"/>
        <v>0.1424944633</v>
      </c>
      <c r="F125" s="8">
        <f t="shared" si="17"/>
        <v>-0.03125985383</v>
      </c>
      <c r="G125" s="8">
        <f t="shared" si="17"/>
        <v>-0.4153418962</v>
      </c>
      <c r="H125" s="2"/>
      <c r="I125" s="4" t="s">
        <v>22</v>
      </c>
      <c r="J125" s="8">
        <f t="array" ref="J125:N129">MMULT(C125:G129,J118:N122)</f>
        <v>1.590130646</v>
      </c>
      <c r="K125" s="8">
        <v>-0.6325601641160148</v>
      </c>
      <c r="L125" s="8">
        <v>-0.30234834018272994</v>
      </c>
      <c r="M125" s="8">
        <v>-0.018665419460870858</v>
      </c>
      <c r="N125" s="8">
        <v>-0.23013880339781762</v>
      </c>
      <c r="O125" s="2"/>
      <c r="P125" s="2"/>
      <c r="Q125" s="2"/>
      <c r="R125" s="2" t="str">
        <f>IFERROR(__xludf.DUMMYFUNCTION("SPARKLINE((J125-MIN($J125:$N125))/SUMPRODUCT($J125:$N125-MIN($J125:$N125)), {""charttype"",""bar""; ""max"",1; ""color1"",""#4285F4""})"),"")</f>
        <v/>
      </c>
      <c r="S125" s="2" t="str">
        <f>IFERROR(__xludf.DUMMYFUNCTION("SPARKLINE((K125-MIN($J125:$N125))/SUMPRODUCT($J125:$N125-MIN($J125:$N125)), {""charttype"",""bar""; ""max"",1; ""color1"",""#4285F4""})"),"")</f>
        <v/>
      </c>
      <c r="T125" s="2" t="str">
        <f>IFERROR(__xludf.DUMMYFUNCTION("SPARKLINE((L125-MIN($J125:$N125))/SUMPRODUCT($J125:$N125-MIN($J125:$N125)), {""charttype"",""bar""; ""max"",1; ""color1"",""#4285F4""})"),"")</f>
        <v/>
      </c>
      <c r="U125" s="2" t="str">
        <f>IFERROR(__xludf.DUMMYFUNCTION("SPARKLINE((M125-MIN($J125:$N125))/SUMPRODUCT($J125:$N125-MIN($J125:$N125)), {""charttype"",""bar""; ""max"",1; ""color1"",""#4285F4""})"),"")</f>
        <v/>
      </c>
      <c r="V125" s="2" t="str">
        <f>IFERROR(__xludf.DUMMYFUNCTION("SPARKLINE((N125-MIN($J125:$N125))/SUMPRODUCT($J125:$N125-MIN($J125:$N125)), {""charttype"",""bar""; ""max"",1; ""color1"",""#4285F4""})"),"")</f>
        <v/>
      </c>
      <c r="W125" s="2"/>
      <c r="X125" s="2"/>
      <c r="Y125" s="2"/>
      <c r="Z125" s="2"/>
    </row>
    <row r="126">
      <c r="B126" s="1"/>
      <c r="C126" s="8">
        <f t="shared" ref="C126:G126" si="18">NORMINV(rand(),0, 1)</f>
        <v>0.5402414194</v>
      </c>
      <c r="D126" s="8">
        <f t="shared" si="18"/>
        <v>0.8576536579</v>
      </c>
      <c r="E126" s="8">
        <f t="shared" si="18"/>
        <v>0.3659997434</v>
      </c>
      <c r="F126" s="8">
        <f t="shared" si="18"/>
        <v>-0.4494212272</v>
      </c>
      <c r="G126" s="8">
        <f t="shared" si="18"/>
        <v>-1.279714266</v>
      </c>
      <c r="H126" s="2"/>
      <c r="I126" s="2"/>
      <c r="J126" s="8">
        <v>-0.3514167930643576</v>
      </c>
      <c r="K126" s="8">
        <v>-0.26629621107191903</v>
      </c>
      <c r="L126" s="8">
        <v>-0.19721616625206062</v>
      </c>
      <c r="M126" s="8">
        <v>-0.9242728380833403</v>
      </c>
      <c r="N126" s="8">
        <v>-0.5210557935691433</v>
      </c>
      <c r="O126" s="2"/>
      <c r="P126" s="2"/>
      <c r="Q126" s="2"/>
      <c r="R126" s="2" t="str">
        <f>IFERROR(__xludf.DUMMYFUNCTION("SPARKLINE((J126-MIN($J126:$N126))/SUMPRODUCT($J126:$N126-MIN($J126:$N126)), {""charttype"",""bar""; ""max"",1; ""color1"",""#4285F4""})"),"")</f>
        <v/>
      </c>
      <c r="S126" s="2" t="str">
        <f>IFERROR(__xludf.DUMMYFUNCTION("SPARKLINE((K126-MIN($J126:$N126))/SUMPRODUCT($J126:$N126-MIN($J126:$N126)), {""charttype"",""bar""; ""max"",1; ""color1"",""#4285F4""})"),"")</f>
        <v/>
      </c>
      <c r="T126" s="2" t="str">
        <f>IFERROR(__xludf.DUMMYFUNCTION("SPARKLINE((L126-MIN($J126:$N126))/SUMPRODUCT($J126:$N126-MIN($J126:$N126)), {""charttype"",""bar""; ""max"",1; ""color1"",""#4285F4""})"),"")</f>
        <v/>
      </c>
      <c r="U126" s="2" t="str">
        <f>IFERROR(__xludf.DUMMYFUNCTION("SPARKLINE((M126-MIN($J126:$N126))/SUMPRODUCT($J126:$N126-MIN($J126:$N126)), {""charttype"",""bar""; ""max"",1; ""color1"",""#4285F4""})"),"")</f>
        <v/>
      </c>
      <c r="V126" s="2" t="str">
        <f>IFERROR(__xludf.DUMMYFUNCTION("SPARKLINE((N126-MIN($J126:$N126))/SUMPRODUCT($J126:$N126-MIN($J126:$N126)), {""charttype"",""bar""; ""max"",1; ""color1"",""#4285F4""})"),"")</f>
        <v/>
      </c>
      <c r="W126" s="2"/>
      <c r="X126" s="2"/>
      <c r="Y126" s="2"/>
      <c r="Z126" s="2"/>
    </row>
    <row r="127">
      <c r="B127" s="1"/>
      <c r="C127" s="8">
        <f t="shared" ref="C127:G127" si="19">NORMINV(rand(),0, 1)</f>
        <v>-0.4522473607</v>
      </c>
      <c r="D127" s="8">
        <f t="shared" si="19"/>
        <v>0.3135237857</v>
      </c>
      <c r="E127" s="8">
        <f t="shared" si="19"/>
        <v>-0.5948615966</v>
      </c>
      <c r="F127" s="8">
        <f t="shared" si="19"/>
        <v>0.5001184306</v>
      </c>
      <c r="G127" s="8">
        <f t="shared" si="19"/>
        <v>0.001600290351</v>
      </c>
      <c r="H127" s="10" t="s">
        <v>23</v>
      </c>
      <c r="I127" s="10" t="s">
        <v>23</v>
      </c>
      <c r="J127" s="8">
        <v>0.16335169413848757</v>
      </c>
      <c r="K127" s="8">
        <v>-0.16980859533030995</v>
      </c>
      <c r="L127" s="8">
        <v>-0.08281004672922271</v>
      </c>
      <c r="M127" s="8">
        <v>-0.1631245724903813</v>
      </c>
      <c r="N127" s="8">
        <v>-0.2905101354018316</v>
      </c>
      <c r="O127" s="2"/>
      <c r="P127" s="2"/>
      <c r="Q127" s="2"/>
      <c r="R127" s="2" t="str">
        <f>IFERROR(__xludf.DUMMYFUNCTION("SPARKLINE((J127-MIN($J127:$N127))/SUMPRODUCT($J127:$N127-MIN($J127:$N127)), {""charttype"",""bar""; ""max"",1; ""color1"",""#4285F4""})"),"")</f>
        <v/>
      </c>
      <c r="S127" s="2" t="str">
        <f>IFERROR(__xludf.DUMMYFUNCTION("SPARKLINE((K127-MIN($J127:$N127))/SUMPRODUCT($J127:$N127-MIN($J127:$N127)), {""charttype"",""bar""; ""max"",1; ""color1"",""#4285F4""})"),"")</f>
        <v/>
      </c>
      <c r="T127" s="2" t="str">
        <f>IFERROR(__xludf.DUMMYFUNCTION("SPARKLINE((L127-MIN($J127:$N127))/SUMPRODUCT($J127:$N127-MIN($J127:$N127)), {""charttype"",""bar""; ""max"",1; ""color1"",""#4285F4""})"),"")</f>
        <v/>
      </c>
      <c r="U127" s="2" t="str">
        <f>IFERROR(__xludf.DUMMYFUNCTION("SPARKLINE((M127-MIN($J127:$N127))/SUMPRODUCT($J127:$N127-MIN($J127:$N127)), {""charttype"",""bar""; ""max"",1; ""color1"",""#4285F4""})"),"")</f>
        <v/>
      </c>
      <c r="V127" s="2" t="str">
        <f>IFERROR(__xludf.DUMMYFUNCTION("SPARKLINE((N127-MIN($J127:$N127))/SUMPRODUCT($J127:$N127-MIN($J127:$N127)), {""charttype"",""bar""; ""max"",1; ""color1"",""#4285F4""})"),"")</f>
        <v/>
      </c>
      <c r="W127" s="2"/>
      <c r="X127" s="2"/>
      <c r="Y127" s="2"/>
      <c r="Z127" s="2"/>
    </row>
    <row r="128">
      <c r="B128" s="1"/>
      <c r="C128" s="8">
        <f t="shared" ref="C128:G128" si="20">NORMINV(rand(),0, 1)</f>
        <v>0.840688537</v>
      </c>
      <c r="D128" s="8">
        <f t="shared" si="20"/>
        <v>0.6002293654</v>
      </c>
      <c r="E128" s="8">
        <f t="shared" si="20"/>
        <v>0.5339659877</v>
      </c>
      <c r="F128" s="8">
        <f t="shared" si="20"/>
        <v>1.183939394</v>
      </c>
      <c r="G128" s="8">
        <f t="shared" si="20"/>
        <v>-1.012651296</v>
      </c>
      <c r="H128" s="2"/>
      <c r="I128" s="2"/>
      <c r="J128" s="8">
        <v>-0.06370448667795048</v>
      </c>
      <c r="K128" s="8">
        <v>1.2933753167450213</v>
      </c>
      <c r="L128" s="8">
        <v>0.576021460887044</v>
      </c>
      <c r="M128" s="8">
        <v>0.00748974574357375</v>
      </c>
      <c r="N128" s="8">
        <v>0.11870282594519255</v>
      </c>
      <c r="O128" s="2"/>
      <c r="P128" s="2"/>
      <c r="Q128" s="2"/>
      <c r="R128" s="2" t="str">
        <f>IFERROR(__xludf.DUMMYFUNCTION("SPARKLINE((J128-MIN($J128:$N128))/SUMPRODUCT($J128:$N128-MIN($J128:$N128)), {""charttype"",""bar""; ""max"",1; ""color1"",""#4285F4""})"),"")</f>
        <v/>
      </c>
      <c r="S128" s="2" t="str">
        <f>IFERROR(__xludf.DUMMYFUNCTION("SPARKLINE((K128-MIN($J128:$N128))/SUMPRODUCT($J128:$N128-MIN($J128:$N128)), {""charttype"",""bar""; ""max"",1; ""color1"",""#4285F4""})"),"")</f>
        <v/>
      </c>
      <c r="T128" s="2" t="str">
        <f>IFERROR(__xludf.DUMMYFUNCTION("SPARKLINE((L128-MIN($J128:$N128))/SUMPRODUCT($J128:$N128-MIN($J128:$N128)), {""charttype"",""bar""; ""max"",1; ""color1"",""#4285F4""})"),"")</f>
        <v/>
      </c>
      <c r="U128" s="2" t="str">
        <f>IFERROR(__xludf.DUMMYFUNCTION("SPARKLINE((M128-MIN($J128:$N128))/SUMPRODUCT($J128:$N128-MIN($J128:$N128)), {""charttype"",""bar""; ""max"",1; ""color1"",""#4285F4""})"),"")</f>
        <v/>
      </c>
      <c r="V128" s="2" t="str">
        <f>IFERROR(__xludf.DUMMYFUNCTION("SPARKLINE((N128-MIN($J128:$N128))/SUMPRODUCT($J128:$N128-MIN($J128:$N128)), {""charttype"",""bar""; ""max"",1; ""color1"",""#4285F4""})"),"")</f>
        <v/>
      </c>
      <c r="W128" s="2"/>
      <c r="X128" s="2"/>
      <c r="Y128" s="2"/>
      <c r="Z128" s="2"/>
    </row>
    <row r="129">
      <c r="B129" s="1"/>
      <c r="C129" s="8">
        <f t="shared" ref="C129:G129" si="21">NORMINV(rand(),0, 1)</f>
        <v>0.9978192635</v>
      </c>
      <c r="D129" s="8">
        <f t="shared" si="21"/>
        <v>1.024601062</v>
      </c>
      <c r="E129" s="8">
        <f t="shared" si="21"/>
        <v>1.044706257</v>
      </c>
      <c r="F129" s="8">
        <f t="shared" si="21"/>
        <v>-1.446737057</v>
      </c>
      <c r="G129" s="8">
        <f t="shared" si="21"/>
        <v>0.7331079049</v>
      </c>
      <c r="H129" s="2"/>
      <c r="I129" s="2"/>
      <c r="J129" s="8">
        <v>1.5708197885994468</v>
      </c>
      <c r="K129" s="8">
        <v>0.2852127957659183</v>
      </c>
      <c r="L129" s="8">
        <v>0.5327709159629811</v>
      </c>
      <c r="M129" s="8">
        <v>1.1893039088762154</v>
      </c>
      <c r="N129" s="8">
        <v>1.4799549851198517</v>
      </c>
      <c r="O129" s="2"/>
      <c r="P129" s="2"/>
      <c r="Q129" s="2"/>
      <c r="R129" s="2" t="str">
        <f>IFERROR(__xludf.DUMMYFUNCTION("SPARKLINE((J129-MIN($J129:$N129))/SUMPRODUCT($J129:$N129-MIN($J129:$N129)), {""charttype"",""bar""; ""max"",1; ""color1"",""#4285F4""})"),"")</f>
        <v/>
      </c>
      <c r="S129" s="2" t="str">
        <f>IFERROR(__xludf.DUMMYFUNCTION("SPARKLINE((K129-MIN($J129:$N129))/SUMPRODUCT($J129:$N129-MIN($J129:$N129)), {""charttype"",""bar""; ""max"",1; ""color1"",""#4285F4""})"),"")</f>
        <v/>
      </c>
      <c r="T129" s="2" t="str">
        <f>IFERROR(__xludf.DUMMYFUNCTION("SPARKLINE((L129-MIN($J129:$N129))/SUMPRODUCT($J129:$N129-MIN($J129:$N129)), {""charttype"",""bar""; ""max"",1; ""color1"",""#4285F4""})"),"")</f>
        <v/>
      </c>
      <c r="U129" s="2" t="str">
        <f>IFERROR(__xludf.DUMMYFUNCTION("SPARKLINE((M129-MIN($J129:$N129))/SUMPRODUCT($J129:$N129-MIN($J129:$N129)), {""charttype"",""bar""; ""max"",1; ""color1"",""#4285F4""})"),"")</f>
        <v/>
      </c>
      <c r="V129" s="2" t="str">
        <f>IFERROR(__xludf.DUMMYFUNCTION("SPARKLINE((N129-MIN($J129:$N129))/SUMPRODUCT($J129:$N129-MIN($J129:$N129)), {""charttype"",""bar""; ""max"",1; ""color1"",""#4285F4""})"),"")</f>
        <v/>
      </c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0" t="s">
        <v>20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0" t="s">
        <v>20</v>
      </c>
      <c r="M131" s="2"/>
      <c r="N131" s="2"/>
      <c r="O131" s="16" t="s">
        <v>24</v>
      </c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4" t="s">
        <v>25</v>
      </c>
      <c r="J132" s="8">
        <f t="shared" ref="J132:N132" si="22">exp(J125)</f>
        <v>4.904389627</v>
      </c>
      <c r="K132" s="8">
        <f t="shared" si="22"/>
        <v>0.5312300225</v>
      </c>
      <c r="L132" s="8">
        <f t="shared" si="22"/>
        <v>0.7390805686</v>
      </c>
      <c r="M132" s="8">
        <f t="shared" si="22"/>
        <v>0.9815077007</v>
      </c>
      <c r="N132" s="8">
        <f t="shared" si="22"/>
        <v>0.7944233262</v>
      </c>
      <c r="O132" s="27">
        <f t="shared" ref="O132:O136" si="24">Sum(J132:N132)</f>
        <v>7.950631245</v>
      </c>
      <c r="P132" s="2"/>
      <c r="Q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8">
        <f t="shared" ref="J133:N133" si="23">exp(J126)</f>
        <v>0.7036903994</v>
      </c>
      <c r="K133" s="8">
        <f t="shared" si="23"/>
        <v>0.7662121334</v>
      </c>
      <c r="L133" s="8">
        <f t="shared" si="23"/>
        <v>0.8210131388</v>
      </c>
      <c r="M133" s="8">
        <f t="shared" si="23"/>
        <v>0.3968198665</v>
      </c>
      <c r="N133" s="8">
        <f t="shared" si="23"/>
        <v>0.5938931882</v>
      </c>
      <c r="O133" s="27">
        <f t="shared" si="24"/>
        <v>3.281628726</v>
      </c>
      <c r="P133" s="2"/>
      <c r="Q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8">
        <f t="shared" ref="J134:N134" si="25">exp(J127)</f>
        <v>1.177450719</v>
      </c>
      <c r="K134" s="8">
        <f t="shared" si="25"/>
        <v>0.8438263134</v>
      </c>
      <c r="L134" s="8">
        <f t="shared" si="25"/>
        <v>0.9205259875</v>
      </c>
      <c r="M134" s="8">
        <f t="shared" si="25"/>
        <v>0.8494853593</v>
      </c>
      <c r="N134" s="8">
        <f t="shared" si="25"/>
        <v>0.7478819492</v>
      </c>
      <c r="O134" s="27">
        <f t="shared" si="24"/>
        <v>4.539170329</v>
      </c>
      <c r="P134" s="2"/>
      <c r="Q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8">
        <f t="shared" ref="J135:N135" si="26">exp(J128)</f>
        <v>0.9382822335</v>
      </c>
      <c r="K135" s="8">
        <f t="shared" si="26"/>
        <v>3.645069078</v>
      </c>
      <c r="L135" s="8">
        <f t="shared" si="26"/>
        <v>1.778946724</v>
      </c>
      <c r="M135" s="8">
        <f t="shared" si="26"/>
        <v>1.007517864</v>
      </c>
      <c r="N135" s="8">
        <f t="shared" si="26"/>
        <v>1.12603524</v>
      </c>
      <c r="O135" s="27">
        <f t="shared" si="24"/>
        <v>8.495851139</v>
      </c>
      <c r="P135" s="2"/>
      <c r="Q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8">
        <f t="shared" ref="J136:N136" si="27">exp(J129)</f>
        <v>4.810590245</v>
      </c>
      <c r="K136" s="8">
        <f t="shared" si="27"/>
        <v>1.330045026</v>
      </c>
      <c r="L136" s="8">
        <f t="shared" si="27"/>
        <v>1.703646435</v>
      </c>
      <c r="M136" s="8">
        <f t="shared" si="27"/>
        <v>3.284793896</v>
      </c>
      <c r="N136" s="8">
        <f t="shared" si="27"/>
        <v>4.392747937</v>
      </c>
      <c r="O136" s="27">
        <f t="shared" si="24"/>
        <v>15.52182354</v>
      </c>
      <c r="P136" s="2"/>
      <c r="Q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0" t="s">
        <v>20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J138" s="2"/>
      <c r="K138" s="2"/>
      <c r="L138" s="10" t="s">
        <v>20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4" t="s">
        <v>26</v>
      </c>
      <c r="J139" s="11">
        <f t="shared" ref="J139:N139" si="28">J132/$O132</f>
        <v>0.6168553761</v>
      </c>
      <c r="K139" s="11">
        <f t="shared" si="28"/>
        <v>0.06681608116</v>
      </c>
      <c r="L139" s="11">
        <f t="shared" si="28"/>
        <v>0.09295872816</v>
      </c>
      <c r="M139" s="11">
        <f t="shared" si="28"/>
        <v>0.123450286</v>
      </c>
      <c r="N139" s="11">
        <f t="shared" si="28"/>
        <v>0.09991952862</v>
      </c>
      <c r="O139" s="2"/>
      <c r="P139" s="2"/>
      <c r="Q139" s="2"/>
      <c r="R139" s="2" t="str">
        <f>IFERROR(__xludf.DUMMYFUNCTION("SPARKLINE(J132/$O132, {""charttype"",""bar""; ""max"",1; ""color1"",""#4285F4""})"),"")</f>
        <v/>
      </c>
      <c r="S139" s="2" t="str">
        <f>IFERROR(__xludf.DUMMYFUNCTION("SPARKLINE(K132/$O132, {""charttype"",""bar""; ""max"",1; ""color1"",""#4285F4""})"),"")</f>
        <v/>
      </c>
      <c r="T139" s="2" t="str">
        <f>IFERROR(__xludf.DUMMYFUNCTION("SPARKLINE(L132/$O132, {""charttype"",""bar""; ""max"",1; ""color1"",""#4285F4""})"),"")</f>
        <v/>
      </c>
      <c r="U139" s="2" t="str">
        <f>IFERROR(__xludf.DUMMYFUNCTION("SPARKLINE(M132/$O132, {""charttype"",""bar""; ""max"",1; ""color1"",""#4285F4""})"),"")</f>
        <v/>
      </c>
      <c r="V139" s="2" t="str">
        <f>IFERROR(__xludf.DUMMYFUNCTION("SPARKLINE(N132/$O132, {""charttype"",""bar""; ""max"",1; ""color1"",""#4285F4""})"),"")</f>
        <v/>
      </c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11">
        <f t="shared" ref="J140:N140" si="29">J133/$O133</f>
        <v>0.2144332763</v>
      </c>
      <c r="K140" s="11">
        <f t="shared" si="29"/>
        <v>0.23348532</v>
      </c>
      <c r="L140" s="11">
        <f t="shared" si="29"/>
        <v>0.2501846514</v>
      </c>
      <c r="M140" s="11">
        <f t="shared" si="29"/>
        <v>0.1209216214</v>
      </c>
      <c r="N140" s="11">
        <f t="shared" si="29"/>
        <v>0.1809751309</v>
      </c>
      <c r="O140" s="2"/>
      <c r="P140" s="2"/>
      <c r="Q140" s="2"/>
      <c r="R140" s="2" t="str">
        <f>IFERROR(__xludf.DUMMYFUNCTION("SPARKLINE(J133/$O133, {""charttype"",""bar""; ""max"",1; ""color1"",""#4285F4""})"),"")</f>
        <v/>
      </c>
      <c r="S140" s="2" t="str">
        <f>IFERROR(__xludf.DUMMYFUNCTION("SPARKLINE(K133/$O133, {""charttype"",""bar""; ""max"",1; ""color1"",""#4285F4""})"),"")</f>
        <v/>
      </c>
      <c r="T140" s="2" t="str">
        <f>IFERROR(__xludf.DUMMYFUNCTION("SPARKLINE(L133/$O133, {""charttype"",""bar""; ""max"",1; ""color1"",""#4285F4""})"),"")</f>
        <v/>
      </c>
      <c r="U140" s="2" t="str">
        <f>IFERROR(__xludf.DUMMYFUNCTION("SPARKLINE(M133/$O133, {""charttype"",""bar""; ""max"",1; ""color1"",""#4285F4""})"),"")</f>
        <v/>
      </c>
      <c r="V140" s="2" t="str">
        <f>IFERROR(__xludf.DUMMYFUNCTION("SPARKLINE(N133/$O133, {""charttype"",""bar""; ""max"",1; ""color1"",""#4285F4""})"),"")</f>
        <v/>
      </c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11">
        <f t="shared" ref="J141:N141" si="30">J134/$O134</f>
        <v>0.2593977829</v>
      </c>
      <c r="K141" s="11">
        <f t="shared" si="30"/>
        <v>0.1858987992</v>
      </c>
      <c r="L141" s="11">
        <f t="shared" si="30"/>
        <v>0.2027960885</v>
      </c>
      <c r="M141" s="11">
        <f t="shared" si="30"/>
        <v>0.1871455129</v>
      </c>
      <c r="N141" s="11">
        <f t="shared" si="30"/>
        <v>0.1647618166</v>
      </c>
      <c r="O141" s="2"/>
      <c r="P141" s="2"/>
      <c r="Q141" s="2"/>
      <c r="R141" s="2" t="str">
        <f>IFERROR(__xludf.DUMMYFUNCTION("SPARKLINE(J134/$O134, {""charttype"",""bar""; ""max"",1; ""color1"",""#4285F4""})"),"")</f>
        <v/>
      </c>
      <c r="S141" s="2" t="str">
        <f>IFERROR(__xludf.DUMMYFUNCTION("SPARKLINE(K134/$O134, {""charttype"",""bar""; ""max"",1; ""color1"",""#4285F4""})"),"")</f>
        <v/>
      </c>
      <c r="T141" s="2" t="str">
        <f>IFERROR(__xludf.DUMMYFUNCTION("SPARKLINE(L134/$O134, {""charttype"",""bar""; ""max"",1; ""color1"",""#4285F4""})"),"")</f>
        <v/>
      </c>
      <c r="U141" s="2" t="str">
        <f>IFERROR(__xludf.DUMMYFUNCTION("SPARKLINE(M134/$O134, {""charttype"",""bar""; ""max"",1; ""color1"",""#4285F4""})"),"")</f>
        <v/>
      </c>
      <c r="V141" s="2" t="str">
        <f>IFERROR(__xludf.DUMMYFUNCTION("SPARKLINE(N134/$O134, {""charttype"",""bar""; ""max"",1; ""color1"",""#4285F4""})"),"")</f>
        <v/>
      </c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11">
        <f t="shared" ref="J142:N142" si="31">J135/$O135</f>
        <v>0.110440051</v>
      </c>
      <c r="K142" s="11">
        <f t="shared" si="31"/>
        <v>0.4290410717</v>
      </c>
      <c r="L142" s="11">
        <f t="shared" si="31"/>
        <v>0.2093900534</v>
      </c>
      <c r="M142" s="11">
        <f t="shared" si="31"/>
        <v>0.1185893971</v>
      </c>
      <c r="N142" s="11">
        <f t="shared" si="31"/>
        <v>0.1325394268</v>
      </c>
      <c r="O142" s="2"/>
      <c r="P142" s="2"/>
      <c r="Q142" s="2"/>
      <c r="R142" s="2" t="str">
        <f>IFERROR(__xludf.DUMMYFUNCTION("SPARKLINE(J135/$O135, {""charttype"",""bar""; ""max"",1; ""color1"",""#4285F4""})"),"")</f>
        <v/>
      </c>
      <c r="S142" s="2" t="str">
        <f>IFERROR(__xludf.DUMMYFUNCTION("SPARKLINE(K135/$O135, {""charttype"",""bar""; ""max"",1; ""color1"",""#4285F4""})"),"")</f>
        <v/>
      </c>
      <c r="T142" s="2" t="str">
        <f>IFERROR(__xludf.DUMMYFUNCTION("SPARKLINE(L135/$O135, {""charttype"",""bar""; ""max"",1; ""color1"",""#4285F4""})"),"")</f>
        <v/>
      </c>
      <c r="U142" s="2" t="str">
        <f>IFERROR(__xludf.DUMMYFUNCTION("SPARKLINE(M135/$O135, {""charttype"",""bar""; ""max"",1; ""color1"",""#4285F4""})"),"")</f>
        <v/>
      </c>
      <c r="V142" s="2" t="str">
        <f>IFERROR(__xludf.DUMMYFUNCTION("SPARKLINE(N135/$O135, {""charttype"",""bar""; ""max"",1; ""color1"",""#4285F4""})"),"")</f>
        <v/>
      </c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11">
        <f t="shared" ref="J143:N143" si="32">J136/$O136</f>
        <v>0.3099242968</v>
      </c>
      <c r="K143" s="11">
        <f t="shared" si="32"/>
        <v>0.08568870936</v>
      </c>
      <c r="L143" s="11">
        <f t="shared" si="32"/>
        <v>0.1097581371</v>
      </c>
      <c r="M143" s="11">
        <f t="shared" si="32"/>
        <v>0.2116242262</v>
      </c>
      <c r="N143" s="11">
        <f t="shared" si="32"/>
        <v>0.2830046306</v>
      </c>
      <c r="O143" s="2"/>
      <c r="P143" s="2"/>
      <c r="Q143" s="2"/>
      <c r="R143" s="2" t="str">
        <f>IFERROR(__xludf.DUMMYFUNCTION("SPARKLINE(J136/$O136, {""charttype"",""bar""; ""max"",1; ""color1"",""#4285F4""})"),"")</f>
        <v/>
      </c>
      <c r="S143" s="2" t="str">
        <f>IFERROR(__xludf.DUMMYFUNCTION("SPARKLINE(K136/$O136, {""charttype"",""bar""; ""max"",1; ""color1"",""#4285F4""})"),"")</f>
        <v/>
      </c>
      <c r="T143" s="2" t="str">
        <f>IFERROR(__xludf.DUMMYFUNCTION("SPARKLINE(L136/$O136, {""charttype"",""bar""; ""max"",1; ""color1"",""#4285F4""})"),"")</f>
        <v/>
      </c>
      <c r="U143" s="2" t="str">
        <f>IFERROR(__xludf.DUMMYFUNCTION("SPARKLINE(M136/$O136, {""charttype"",""bar""; ""max"",1; ""color1"",""#4285F4""})"),"")</f>
        <v/>
      </c>
      <c r="V143" s="2" t="str">
        <f>IFERROR(__xludf.DUMMYFUNCTION("SPARKLINE(N136/$O136, {""charttype"",""bar""; ""max"",1; ""color1"",""#4285F4""})"),"")</f>
        <v/>
      </c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7">
    <mergeCell ref="A2:Z2"/>
    <mergeCell ref="A7:Z7"/>
    <mergeCell ref="A36:Z36"/>
    <mergeCell ref="A61:Z61"/>
    <mergeCell ref="A90:Z90"/>
    <mergeCell ref="A116:Z116"/>
    <mergeCell ref="O131:P131"/>
  </mergeCells>
  <conditionalFormatting sqref="J132:N136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2">
      <colorScale>
        <cfvo type="min"/>
        <cfvo type="max"/>
        <color rgb="FFFFFFFF"/>
        <color rgb="FF57BB8A"/>
      </colorScale>
    </cfRule>
  </conditionalFormatting>
  <conditionalFormatting sqref="C125:G12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8:N122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