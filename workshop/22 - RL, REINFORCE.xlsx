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</sheets>
  <definedNames/>
  <calcPr/>
</workbook>
</file>

<file path=xl/sharedStrings.xml><?xml version="1.0" encoding="utf-8"?>
<sst xmlns="http://schemas.openxmlformats.org/spreadsheetml/2006/main" count="186" uniqueCount="104">
  <si>
    <t>Feed forward and Bakcpropogation</t>
  </si>
  <si>
    <t>text</t>
  </si>
  <si>
    <t>the</t>
  </si>
  <si>
    <t>brown</t>
  </si>
  <si>
    <t>dog</t>
  </si>
  <si>
    <t>jumped</t>
  </si>
  <si>
    <t>over</t>
  </si>
  <si>
    <t>lazy</t>
  </si>
  <si>
    <t>tokenized</t>
  </si>
  <si>
    <t>⬇</t>
  </si>
  <si>
    <t>Transformer</t>
  </si>
  <si>
    <t>probabilities</t>
  </si>
  <si>
    <t>decoded</t>
  </si>
  <si>
    <t>fox</t>
  </si>
  <si>
    <t>Expected probability for "fox"</t>
  </si>
  <si>
    <t>actual transformer output for "fox"</t>
  </si>
  <si>
    <t>Loss (includes expected - actual)</t>
  </si>
  <si>
    <t xml:space="preserve">RL: change the loss function </t>
  </si>
  <si>
    <t>Correct answer ✅</t>
  </si>
  <si>
    <t>Wrong answer ❌</t>
  </si>
  <si>
    <t>hello</t>
  </si>
  <si>
    <t>world</t>
  </si>
  <si>
    <t>!</t>
  </si>
  <si>
    <t>RL Loss Function (based on reward model)</t>
  </si>
  <si>
    <t xml:space="preserve">Reward model: Training samples </t>
  </si>
  <si>
    <t>Prompt</t>
  </si>
  <si>
    <t>Response</t>
  </si>
  <si>
    <t>Human Score</t>
  </si>
  <si>
    <t>What is 15% of 240?</t>
  </si>
  <si>
    <t>0.15 * 240 = 36</t>
  </si>
  <si>
    <t>240 / 15 = 16</t>
  </si>
  <si>
    <t>About 30 something</t>
  </si>
  <si>
    <t>15% means 15/100, so 15/100 * 240 = 36</t>
  </si>
  <si>
    <t>What is 2 + 2?</t>
  </si>
  <si>
    <t>4</t>
  </si>
  <si>
    <t>22</t>
  </si>
  <si>
    <t>2 + 2 = 4</t>
  </si>
  <si>
    <t>Summarize photosynthesis</t>
  </si>
  <si>
    <t>Plants convert sunlight into energy using chlorophyll</t>
  </si>
  <si>
    <t>Photosynthesis is when plants eat food</t>
  </si>
  <si>
    <t>It's a process in plants</t>
  </si>
  <si>
    <t>What is the capital of France?</t>
  </si>
  <si>
    <t>Paris</t>
  </si>
  <si>
    <t>London</t>
  </si>
  <si>
    <t>The capital of France is Paris</t>
  </si>
  <si>
    <t>Translate 'hello' to Spanish</t>
  </si>
  <si>
    <t>Hola</t>
  </si>
  <si>
    <t>Bonjour</t>
  </si>
  <si>
    <t>I don't know Spanish</t>
  </si>
  <si>
    <t>What is 3 * 7?</t>
  </si>
  <si>
    <t>21</t>
  </si>
  <si>
    <t>3 * 7 = 21</t>
  </si>
  <si>
    <t>37</t>
  </si>
  <si>
    <t>Explain gravity in one sentence</t>
  </si>
  <si>
    <t>Gravity is the force that pulls objects toward each other</t>
  </si>
  <si>
    <t>Things fall down</t>
  </si>
  <si>
    <t>Gravity doesn't exist</t>
  </si>
  <si>
    <t>What color is the sky?</t>
  </si>
  <si>
    <t>Blue</t>
  </si>
  <si>
    <t>The sky appears blue due to Rayleigh scattering</t>
  </si>
  <si>
    <t>Green</t>
  </si>
  <si>
    <t>What is 100 / 4?</t>
  </si>
  <si>
    <t>25</t>
  </si>
  <si>
    <t>100 / 4 = 25</t>
  </si>
  <si>
    <t>400</t>
  </si>
  <si>
    <t>Name a mammal</t>
  </si>
  <si>
    <t>Dog</t>
  </si>
  <si>
    <t>Salmon</t>
  </si>
  <si>
    <t>Reward model: Fine Tuning</t>
  </si>
  <si>
    <t>Original Transformer</t>
  </si>
  <si>
    <t>Integer Head</t>
  </si>
  <si>
    <t>Fine tuning Integer Head</t>
  </si>
  <si>
    <t>Perference Dataset</t>
  </si>
  <si>
    <t>⬅</t>
  </si>
  <si>
    <t>Reward Model</t>
  </si>
  <si>
    <t>Reinforce - formulas (formal and human readable)</t>
  </si>
  <si>
    <t>Formal</t>
  </si>
  <si>
    <t>Human</t>
  </si>
  <si>
    <t>readable</t>
  </si>
  <si>
    <t xml:space="preserve">SimPO - Preference Pairs </t>
  </si>
  <si>
    <t>Prompt ❓</t>
  </si>
  <si>
    <t xml:space="preserve">"What is 15% of 240?" </t>
  </si>
  <si>
    <t>Chosen ✅</t>
  </si>
  <si>
    <t xml:space="preserve">"0.15 * 240 = 36" </t>
  </si>
  <si>
    <t>Rejected ❌</t>
  </si>
  <si>
    <t xml:space="preserve">"240 / 15 = 16" </t>
  </si>
  <si>
    <t>Chosen pair</t>
  </si>
  <si>
    <t>"What is 15% of 240? 0.15 * 240 = 36”</t>
  </si>
  <si>
    <t>rejected pair</t>
  </si>
  <si>
    <t>“What is 15% of 240? 240 / 15 = 16”</t>
  </si>
  <si>
    <t>SimPO - Inference</t>
  </si>
  <si>
    <t>tokens</t>
  </si>
  <si>
    <t>probalities</t>
  </si>
  <si>
    <t xml:space="preserve">SimPO - reward </t>
  </si>
  <si>
    <t>chosen</t>
  </si>
  <si>
    <t>rejected</t>
  </si>
  <si>
    <t>chosen reward</t>
  </si>
  <si>
    <t>rejected reward</t>
  </si>
  <si>
    <t>SimPO - loss</t>
  </si>
  <si>
    <t>beta</t>
  </si>
  <si>
    <t>gamma</t>
  </si>
  <si>
    <t>reward margin</t>
  </si>
  <si>
    <t>sigmoid (reward margin)</t>
  </si>
  <si>
    <t>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</si>
</sst>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0"/>
  </numFmts>
  <fonts count="16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rgb="FFB7B7B7"/>
      <name val="Arial"/>
    </font>
    <font>
      <color theme="1"/>
      <name val="Arial"/>
    </font>
    <font>
      <sz val="16.0"/>
      <color theme="1"/>
      <name val="Arial"/>
      <scheme val="minor"/>
    </font>
    <font/>
    <font>
      <sz val="13.0"/>
      <color rgb="FF999999"/>
      <name val="Arial"/>
      <scheme val="minor"/>
    </font>
    <font>
      <sz val="12.0"/>
      <color rgb="FF999999"/>
      <name val="Arial"/>
      <scheme val="minor"/>
    </font>
    <font>
      <sz val="14.0"/>
      <color rgb="FF999999"/>
      <name val="Arial"/>
      <scheme val="minor"/>
    </font>
    <font>
      <sz val="22.0"/>
      <color theme="1"/>
      <name val="Arial"/>
      <scheme val="minor"/>
    </font>
    <font>
      <b/>
      <sz val="11.0"/>
      <color theme="1"/>
      <name val="Cambria"/>
    </font>
    <font>
      <sz val="11.0"/>
      <color theme="1"/>
      <name val="Calibri"/>
    </font>
    <font>
      <sz val="15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right" readingOrder="0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2" numFmtId="1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9" fillId="0" fontId="4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left" shrinkToFit="0" wrapText="0"/>
    </xf>
    <xf borderId="0" fillId="0" fontId="9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4" fillId="0" fontId="12" numFmtId="0" xfId="0" applyAlignment="1" applyBorder="1" applyFont="1">
      <alignment vertical="bottom"/>
    </xf>
    <xf borderId="0" fillId="0" fontId="12" numFmtId="0" xfId="0" applyAlignment="1" applyFont="1">
      <alignment horizontal="right" vertical="bottom"/>
    </xf>
    <xf borderId="1" fillId="0" fontId="13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horizontal="center" readingOrder="0"/>
    </xf>
    <xf borderId="11" fillId="0" fontId="6" numFmtId="0" xfId="0" applyBorder="1" applyFont="1"/>
    <xf borderId="12" fillId="0" fontId="6" numFmtId="0" xfId="0" applyBorder="1" applyFont="1"/>
    <xf borderId="1" fillId="0" fontId="14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horizontal="center"/>
    </xf>
    <xf borderId="0" fillId="0" fontId="3" numFmtId="0" xfId="0" applyAlignment="1" applyFont="1">
      <alignment horizontal="right" readingOrder="0" vertical="bottom"/>
    </xf>
    <xf borderId="0" fillId="0" fontId="4" numFmtId="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9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15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7</xdr:row>
      <xdr:rowOff>114300</xdr:rowOff>
    </xdr:from>
    <xdr:ext cx="3095625" cy="2581275"/>
    <xdr:grpSp>
      <xdr:nvGrpSpPr>
        <xdr:cNvPr id="2" name="Shape 2" title="Drawing"/>
        <xdr:cNvGrpSpPr/>
      </xdr:nvGrpSpPr>
      <xdr:grpSpPr>
        <a:xfrm>
          <a:off x="2161520" y="1586475"/>
          <a:ext cx="4064055" cy="3574581"/>
          <a:chOff x="2161520" y="1586475"/>
          <a:chExt cx="4064055" cy="3574581"/>
        </a:xfrm>
      </xdr:grpSpPr>
      <xdr:sp>
        <xdr:nvSpPr>
          <xdr:cNvPr id="3" name="Shape 3"/>
          <xdr:cNvSpPr/>
        </xdr:nvSpPr>
        <xdr:spPr>
          <a:xfrm>
            <a:off x="2161520" y="1937900"/>
            <a:ext cx="479250" cy="421725"/>
          </a:xfrm>
          <a:custGeom>
            <a:rect b="b" l="l" r="r" t="t"/>
            <a:pathLst>
              <a:path extrusionOk="0" h="16869" w="19170">
                <a:moveTo>
                  <a:pt x="5916" y="0"/>
                </a:moveTo>
                <a:cubicBezTo>
                  <a:pt x="3388" y="1896"/>
                  <a:pt x="-880" y="4698"/>
                  <a:pt x="293" y="7632"/>
                </a:cubicBezTo>
                <a:cubicBezTo>
                  <a:pt x="2893" y="14137"/>
                  <a:pt x="12165" y="16869"/>
                  <a:pt x="19170" y="1686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 txBox="1"/>
        </xdr:nvSpPr>
        <xdr:spPr>
          <a:xfrm>
            <a:off x="2690975" y="1586475"/>
            <a:ext cx="3534600" cy="636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178900" y="2100406"/>
            <a:ext cx="2142650" cy="3060650"/>
          </a:xfrm>
          <a:custGeom>
            <a:rect b="b" l="l" r="r" t="t"/>
            <a:pathLst>
              <a:path extrusionOk="0" h="122426" w="85706">
                <a:moveTo>
                  <a:pt x="0" y="1132"/>
                </a:moveTo>
                <a:cubicBezTo>
                  <a:pt x="13128" y="-1496"/>
                  <a:pt x="26775" y="1533"/>
                  <a:pt x="40164" y="1533"/>
                </a:cubicBezTo>
                <a:cubicBezTo>
                  <a:pt x="52407" y="1533"/>
                  <a:pt x="68565" y="173"/>
                  <a:pt x="75910" y="9968"/>
                </a:cubicBezTo>
                <a:cubicBezTo>
                  <a:pt x="86804" y="24496"/>
                  <a:pt x="80779" y="45982"/>
                  <a:pt x="84344" y="63787"/>
                </a:cubicBezTo>
                <a:cubicBezTo>
                  <a:pt x="86763" y="75871"/>
                  <a:pt x="85558" y="88654"/>
                  <a:pt x="83139" y="100738"/>
                </a:cubicBezTo>
                <a:cubicBezTo>
                  <a:pt x="82061" y="106120"/>
                  <a:pt x="82955" y="112518"/>
                  <a:pt x="79525" y="116804"/>
                </a:cubicBezTo>
                <a:cubicBezTo>
                  <a:pt x="72731" y="125293"/>
                  <a:pt x="57118" y="117564"/>
                  <a:pt x="47393" y="12242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304800</xdr:colOff>
      <xdr:row>39</xdr:row>
      <xdr:rowOff>133350</xdr:rowOff>
    </xdr:from>
    <xdr:ext cx="4200525" cy="723900"/>
    <xdr:grpSp>
      <xdr:nvGrpSpPr>
        <xdr:cNvPr id="2" name="Shape 2" title="Drawing"/>
        <xdr:cNvGrpSpPr/>
      </xdr:nvGrpSpPr>
      <xdr:grpSpPr>
        <a:xfrm>
          <a:off x="893650" y="1656775"/>
          <a:ext cx="3926025" cy="702950"/>
          <a:chOff x="893650" y="1656775"/>
          <a:chExt cx="3926025" cy="702950"/>
        </a:xfrm>
      </xdr:grpSpPr>
      <xdr:cxnSp>
        <xdr:nvCxnSpPr>
          <xdr:cNvPr id="6" name="Shape 6"/>
          <xdr:cNvCxnSpPr/>
        </xdr:nvCxnSpPr>
        <xdr:spPr>
          <a:xfrm>
            <a:off x="2891800" y="1747125"/>
            <a:ext cx="20100" cy="61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" name="Shape 7"/>
          <xdr:cNvCxnSpPr/>
        </xdr:nvCxnSpPr>
        <xdr:spPr>
          <a:xfrm>
            <a:off x="893650" y="1656775"/>
            <a:ext cx="1938000" cy="6627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" name="Shape 8"/>
          <xdr:cNvCxnSpPr/>
        </xdr:nvCxnSpPr>
        <xdr:spPr>
          <a:xfrm flipH="1">
            <a:off x="3022075" y="1706975"/>
            <a:ext cx="1797600" cy="64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304800</xdr:colOff>
      <xdr:row>30</xdr:row>
      <xdr:rowOff>180975</xdr:rowOff>
    </xdr:from>
    <xdr:ext cx="5353050" cy="2733675"/>
    <xdr:grpSp>
      <xdr:nvGrpSpPr>
        <xdr:cNvPr id="2" name="Shape 2" title="Drawing"/>
        <xdr:cNvGrpSpPr/>
      </xdr:nvGrpSpPr>
      <xdr:grpSpPr>
        <a:xfrm>
          <a:off x="712900" y="532175"/>
          <a:ext cx="7470525" cy="3507725"/>
          <a:chOff x="712900" y="532175"/>
          <a:chExt cx="7470525" cy="3507725"/>
        </a:xfrm>
      </xdr:grpSpPr>
      <xdr:sp>
        <xdr:nvSpPr>
          <xdr:cNvPr id="9" name="Shape 9"/>
          <xdr:cNvSpPr/>
        </xdr:nvSpPr>
        <xdr:spPr>
          <a:xfrm>
            <a:off x="1877675" y="692649"/>
            <a:ext cx="3579750" cy="3280725"/>
          </a:xfrm>
          <a:custGeom>
            <a:rect b="b" l="l" r="r" t="t"/>
            <a:pathLst>
              <a:path extrusionOk="0" h="131229" w="143190">
                <a:moveTo>
                  <a:pt x="0" y="130942"/>
                </a:moveTo>
                <a:cubicBezTo>
                  <a:pt x="28658" y="130942"/>
                  <a:pt x="57468" y="132094"/>
                  <a:pt x="85951" y="128934"/>
                </a:cubicBezTo>
                <a:cubicBezTo>
                  <a:pt x="102755" y="127070"/>
                  <a:pt x="121389" y="122815"/>
                  <a:pt x="133344" y="110860"/>
                </a:cubicBezTo>
                <a:cubicBezTo>
                  <a:pt x="145469" y="98735"/>
                  <a:pt x="142582" y="77401"/>
                  <a:pt x="142582" y="60253"/>
                </a:cubicBezTo>
                <a:cubicBezTo>
                  <a:pt x="142582" y="42948"/>
                  <a:pt x="145975" y="22504"/>
                  <a:pt x="135352" y="8843"/>
                </a:cubicBezTo>
                <a:cubicBezTo>
                  <a:pt x="130492" y="2593"/>
                  <a:pt x="120623" y="2766"/>
                  <a:pt x="112860" y="1212"/>
                </a:cubicBezTo>
                <a:cubicBezTo>
                  <a:pt x="105629" y="-236"/>
                  <a:pt x="97366" y="-881"/>
                  <a:pt x="90770" y="241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3956163" y="532175"/>
            <a:ext cx="381525" cy="331350"/>
          </a:xfrm>
          <a:custGeom>
            <a:rect b="b" l="l" r="r" t="t"/>
            <a:pathLst>
              <a:path extrusionOk="0" h="13254" w="15261">
                <a:moveTo>
                  <a:pt x="12049" y="0"/>
                </a:moveTo>
                <a:cubicBezTo>
                  <a:pt x="7960" y="3068"/>
                  <a:pt x="5777" y="8558"/>
                  <a:pt x="1205" y="10844"/>
                </a:cubicBezTo>
                <a:cubicBezTo>
                  <a:pt x="846" y="11024"/>
                  <a:pt x="1" y="10844"/>
                  <a:pt x="402" y="10844"/>
                </a:cubicBezTo>
                <a:cubicBezTo>
                  <a:pt x="5420" y="10844"/>
                  <a:pt x="10244" y="13254"/>
                  <a:pt x="15262" y="1325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 txBox="1"/>
        </xdr:nvSpPr>
        <xdr:spPr>
          <a:xfrm>
            <a:off x="5492425" y="1897750"/>
            <a:ext cx="2691000" cy="63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/>
              <a:t>Backpropagation</a:t>
            </a:r>
            <a:endParaRPr sz="1900"/>
          </a:p>
        </xdr:txBody>
      </xdr:sp>
      <xdr:sp>
        <xdr:nvSpPr>
          <xdr:cNvPr id="12" name="Shape 12"/>
          <xdr:cNvSpPr/>
        </xdr:nvSpPr>
        <xdr:spPr>
          <a:xfrm>
            <a:off x="712900" y="3966200"/>
            <a:ext cx="1245100" cy="73700"/>
          </a:xfrm>
          <a:custGeom>
            <a:rect b="b" l="l" r="r" t="t"/>
            <a:pathLst>
              <a:path extrusionOk="0" h="2948" w="49804">
                <a:moveTo>
                  <a:pt x="49804" y="0"/>
                </a:moveTo>
                <a:cubicBezTo>
                  <a:pt x="33822" y="4564"/>
                  <a:pt x="16621" y="2410"/>
                  <a:pt x="0" y="241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104775</xdr:colOff>
      <xdr:row>172</xdr:row>
      <xdr:rowOff>19050</xdr:rowOff>
    </xdr:from>
    <xdr:ext cx="3781425" cy="1057275"/>
    <xdr:grpSp>
      <xdr:nvGrpSpPr>
        <xdr:cNvPr id="2" name="Shape 2" title="Drawing"/>
        <xdr:cNvGrpSpPr/>
      </xdr:nvGrpSpPr>
      <xdr:grpSpPr>
        <a:xfrm>
          <a:off x="2158825" y="1225000"/>
          <a:ext cx="6125075" cy="1689200"/>
          <a:chOff x="2158825" y="1225000"/>
          <a:chExt cx="6125075" cy="1689200"/>
        </a:xfrm>
      </xdr:grpSpPr>
      <xdr:sp>
        <xdr:nvSpPr>
          <xdr:cNvPr id="13" name="Shape 13"/>
          <xdr:cNvSpPr/>
        </xdr:nvSpPr>
        <xdr:spPr>
          <a:xfrm>
            <a:off x="2178900" y="1225000"/>
            <a:ext cx="180725" cy="1586475"/>
          </a:xfrm>
          <a:custGeom>
            <a:rect b="b" l="l" r="r" t="t"/>
            <a:pathLst>
              <a:path extrusionOk="0" h="63459" w="7229">
                <a:moveTo>
                  <a:pt x="0" y="0"/>
                </a:moveTo>
                <a:cubicBezTo>
                  <a:pt x="5846" y="20471"/>
                  <a:pt x="7229" y="42169"/>
                  <a:pt x="7229" y="6345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158825" y="2570500"/>
            <a:ext cx="295875" cy="343700"/>
          </a:xfrm>
          <a:custGeom>
            <a:rect b="b" l="l" r="r" t="t"/>
            <a:pathLst>
              <a:path extrusionOk="0" h="13748" w="11835">
                <a:moveTo>
                  <a:pt x="11245" y="3213"/>
                </a:moveTo>
                <a:cubicBezTo>
                  <a:pt x="12937" y="6593"/>
                  <a:pt x="10533" y="14398"/>
                  <a:pt x="6827" y="13656"/>
                </a:cubicBezTo>
                <a:cubicBezTo>
                  <a:pt x="1837" y="12657"/>
                  <a:pt x="3599" y="3599"/>
                  <a:pt x="0" y="0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5" name="Shape 15"/>
          <xdr:cNvSpPr txBox="1"/>
        </xdr:nvSpPr>
        <xdr:spPr>
          <a:xfrm>
            <a:off x="2500200" y="1686875"/>
            <a:ext cx="5783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209550</xdr:colOff>
      <xdr:row>142</xdr:row>
      <xdr:rowOff>47625</xdr:rowOff>
    </xdr:from>
    <xdr:ext cx="6400800" cy="1304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157</xdr:row>
      <xdr:rowOff>66675</xdr:rowOff>
    </xdr:from>
    <xdr:ext cx="7496175" cy="1057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98</xdr:row>
      <xdr:rowOff>114300</xdr:rowOff>
    </xdr:from>
    <xdr:ext cx="8658225" cy="10572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104</xdr:row>
      <xdr:rowOff>152400</xdr:rowOff>
    </xdr:from>
    <xdr:ext cx="8753475" cy="6191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108</xdr:row>
      <xdr:rowOff>161925</xdr:rowOff>
    </xdr:from>
    <xdr:ext cx="7305675" cy="5238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2</v>
      </c>
      <c r="I4" s="6" t="s">
        <v>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7" t="s">
        <v>8</v>
      </c>
      <c r="C6" s="8">
        <f t="shared" ref="C6:I6" si="1">RAND()* 100</f>
        <v>99.65537633</v>
      </c>
      <c r="D6" s="8">
        <f t="shared" si="1"/>
        <v>19.39731623</v>
      </c>
      <c r="E6" s="8">
        <f t="shared" si="1"/>
        <v>36.13790108</v>
      </c>
      <c r="F6" s="8">
        <f t="shared" si="1"/>
        <v>93.15690316</v>
      </c>
      <c r="G6" s="8">
        <f t="shared" si="1"/>
        <v>72.51997218</v>
      </c>
      <c r="H6" s="8">
        <f t="shared" si="1"/>
        <v>91.28215448</v>
      </c>
      <c r="I6" s="8">
        <f t="shared" si="1"/>
        <v>31.69831713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2"/>
      <c r="D7" s="2"/>
      <c r="E7" s="9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2"/>
      <c r="D8" s="2"/>
      <c r="E8" s="9" t="s">
        <v>9</v>
      </c>
      <c r="F8" s="2"/>
      <c r="G8" s="2"/>
      <c r="H8" s="2"/>
      <c r="I8" s="2"/>
      <c r="J8" s="2"/>
      <c r="K8" s="2"/>
      <c r="L8" s="2"/>
      <c r="M8" s="2"/>
      <c r="N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10" t="s">
        <v>10</v>
      </c>
      <c r="E9" s="11"/>
      <c r="F9" s="1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2"/>
      <c r="D10" s="13"/>
      <c r="F10" s="14"/>
      <c r="G10" s="2"/>
      <c r="H10" s="2"/>
      <c r="I10" s="2"/>
      <c r="J10" s="2"/>
      <c r="K10" s="2"/>
      <c r="L10" s="2"/>
      <c r="M10" s="2"/>
      <c r="N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15"/>
      <c r="E11" s="16"/>
      <c r="F11" s="1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1"/>
      <c r="C12" s="2"/>
      <c r="D12" s="2"/>
      <c r="E12" s="9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9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7" t="s">
        <v>8</v>
      </c>
      <c r="C14" s="2"/>
      <c r="D14" s="8">
        <f t="array" ref="D14:I14">D6:I6</f>
        <v>19.39731623</v>
      </c>
      <c r="E14" s="8">
        <v>36.13790107725039</v>
      </c>
      <c r="F14" s="8">
        <v>93.15690315845536</v>
      </c>
      <c r="G14" s="8">
        <v>72.51997218250767</v>
      </c>
      <c r="H14" s="8">
        <v>91.28215447536986</v>
      </c>
      <c r="I14" s="8">
        <v>31.69831713411677</v>
      </c>
      <c r="J14" s="18">
        <f>RAND()* 100</f>
        <v>60.18835455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7" t="s">
        <v>11</v>
      </c>
      <c r="C15" s="2"/>
      <c r="D15" s="19">
        <f t="shared" ref="D15:J15" si="2">rand()</f>
        <v>0.8431623447</v>
      </c>
      <c r="E15" s="19">
        <f t="shared" si="2"/>
        <v>0.1497124468</v>
      </c>
      <c r="F15" s="19">
        <f t="shared" si="2"/>
        <v>0.343892593</v>
      </c>
      <c r="G15" s="19">
        <f t="shared" si="2"/>
        <v>0.2355691812</v>
      </c>
      <c r="H15" s="19">
        <f t="shared" si="2"/>
        <v>0.6511258821</v>
      </c>
      <c r="I15" s="19">
        <f t="shared" si="2"/>
        <v>0.01631374249</v>
      </c>
      <c r="J15" s="19">
        <f t="shared" si="2"/>
        <v>0.8449591016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7"/>
      <c r="C16" s="2"/>
      <c r="D16" s="2"/>
      <c r="E16" s="2"/>
      <c r="F16" s="2"/>
      <c r="G16" s="2"/>
      <c r="H16" s="2"/>
      <c r="I16" s="2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7" t="s">
        <v>12</v>
      </c>
      <c r="C17" s="2"/>
      <c r="D17" s="2" t="str">
        <f t="array" ref="D17:I17">D4:I4</f>
        <v>brown</v>
      </c>
      <c r="E17" s="2" t="s">
        <v>4</v>
      </c>
      <c r="F17" s="2" t="s">
        <v>5</v>
      </c>
      <c r="G17" s="2" t="s">
        <v>6</v>
      </c>
      <c r="H17" s="2" t="s">
        <v>2</v>
      </c>
      <c r="I17" s="2" t="s">
        <v>7</v>
      </c>
      <c r="J17" s="20" t="s">
        <v>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C19" s="2"/>
      <c r="D19" s="2"/>
      <c r="E19" s="2"/>
      <c r="F19" s="2"/>
      <c r="G19" s="2"/>
      <c r="H19" s="7" t="s">
        <v>14</v>
      </c>
      <c r="I19" s="9">
        <v>0.8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/>
      <c r="D20" s="2"/>
      <c r="E20" s="2"/>
      <c r="F20" s="2"/>
      <c r="G20" s="2"/>
      <c r="H20" s="7" t="s">
        <v>15</v>
      </c>
      <c r="I20" s="21">
        <f>J15</f>
        <v>0.8449591016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7" t="s">
        <v>16</v>
      </c>
      <c r="I21" s="19">
        <f>RAND()</f>
        <v>0.6666134819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17</v>
      </c>
    </row>
    <row r="24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2" t="s">
        <v>18</v>
      </c>
      <c r="E25" s="23"/>
      <c r="F25" s="23"/>
      <c r="G25" s="24" t="s">
        <v>19</v>
      </c>
      <c r="K25" s="23"/>
      <c r="L25" s="23"/>
      <c r="M25" s="24" t="s">
        <v>19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4" t="s">
        <v>1</v>
      </c>
      <c r="C27" s="5" t="s">
        <v>2</v>
      </c>
      <c r="D27" s="6" t="s">
        <v>3</v>
      </c>
      <c r="E27" s="6"/>
      <c r="F27" s="6"/>
      <c r="G27" s="6"/>
      <c r="H27" s="4" t="s">
        <v>1</v>
      </c>
      <c r="I27" s="5" t="s">
        <v>2</v>
      </c>
      <c r="J27" s="6" t="s">
        <v>3</v>
      </c>
      <c r="K27" s="2"/>
      <c r="L27" s="2"/>
      <c r="M27" s="2"/>
      <c r="N27" s="4" t="s">
        <v>1</v>
      </c>
      <c r="O27" s="25" t="s">
        <v>20</v>
      </c>
      <c r="P27" s="25" t="s">
        <v>21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1"/>
      <c r="I28" s="2"/>
      <c r="J28" s="2"/>
      <c r="K28" s="2"/>
      <c r="L28" s="2"/>
      <c r="M28" s="2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7" t="s">
        <v>8</v>
      </c>
      <c r="C29" s="8">
        <f t="shared" ref="C29:D29" si="3">RAND()* 100</f>
        <v>13.9692806</v>
      </c>
      <c r="D29" s="8">
        <f t="shared" si="3"/>
        <v>47.08454374</v>
      </c>
      <c r="E29" s="8"/>
      <c r="F29" s="8"/>
      <c r="G29" s="8"/>
      <c r="H29" s="7" t="s">
        <v>8</v>
      </c>
      <c r="I29" s="8">
        <f t="shared" ref="I29:J29" si="4">C29</f>
        <v>13.9692806</v>
      </c>
      <c r="J29" s="8">
        <f t="shared" si="4"/>
        <v>47.08454374</v>
      </c>
      <c r="K29" s="2"/>
      <c r="L29" s="2"/>
      <c r="M29" s="2"/>
      <c r="N29" s="7" t="s">
        <v>8</v>
      </c>
      <c r="O29" s="8">
        <f t="shared" ref="O29:P29" si="5">RAND()* 100</f>
        <v>80.75624251</v>
      </c>
      <c r="P29" s="8">
        <f t="shared" si="5"/>
        <v>38.01623276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9" t="s">
        <v>9</v>
      </c>
      <c r="F30" s="2"/>
      <c r="G30" s="2"/>
      <c r="H30" s="1"/>
      <c r="I30" s="2"/>
      <c r="J30" s="9" t="s">
        <v>9</v>
      </c>
      <c r="K30" s="2"/>
      <c r="L30" s="2"/>
      <c r="M30" s="2"/>
      <c r="N30" s="1"/>
      <c r="O30" s="2"/>
      <c r="P30" s="9" t="s">
        <v>9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9" t="s">
        <v>9</v>
      </c>
      <c r="F31" s="2"/>
      <c r="G31" s="2"/>
      <c r="H31" s="1"/>
      <c r="I31" s="2"/>
      <c r="J31" s="9" t="s">
        <v>9</v>
      </c>
      <c r="K31" s="2"/>
      <c r="L31" s="2"/>
      <c r="M31" s="2"/>
      <c r="N31" s="1"/>
      <c r="O31" s="2"/>
      <c r="P31" s="9" t="s">
        <v>9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26" t="s">
        <v>10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13"/>
      <c r="Q33" s="14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2"/>
      <c r="E35" s="9" t="s">
        <v>9</v>
      </c>
      <c r="F35" s="2"/>
      <c r="G35" s="2"/>
      <c r="H35" s="2"/>
      <c r="I35" s="2"/>
      <c r="J35" s="2"/>
      <c r="K35" s="9" t="s">
        <v>9</v>
      </c>
      <c r="L35" s="2"/>
      <c r="M35" s="2"/>
      <c r="N35" s="2"/>
      <c r="O35" s="2"/>
      <c r="P35" s="2"/>
      <c r="Q35" s="9" t="s">
        <v>9</v>
      </c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2"/>
      <c r="D36" s="2"/>
      <c r="E36" s="9" t="s">
        <v>9</v>
      </c>
      <c r="F36" s="2"/>
      <c r="G36" s="2"/>
      <c r="H36" s="2"/>
      <c r="I36" s="2"/>
      <c r="J36" s="2"/>
      <c r="K36" s="9" t="s">
        <v>9</v>
      </c>
      <c r="L36" s="2"/>
      <c r="M36" s="2"/>
      <c r="N36" s="2"/>
      <c r="O36" s="2"/>
      <c r="P36" s="2"/>
      <c r="Q36" s="9" t="s">
        <v>9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C37" s="7" t="s">
        <v>8</v>
      </c>
      <c r="D37" s="8">
        <f>D29</f>
        <v>47.08454374</v>
      </c>
      <c r="E37" s="18">
        <f>RAND()* 100</f>
        <v>32.80885626</v>
      </c>
      <c r="F37" s="2"/>
      <c r="G37" s="2"/>
      <c r="H37" s="2"/>
      <c r="I37" s="7" t="s">
        <v>8</v>
      </c>
      <c r="J37" s="8">
        <f>J29</f>
        <v>47.08454374</v>
      </c>
      <c r="K37" s="18">
        <f>RAND()* 100</f>
        <v>60.69053246</v>
      </c>
      <c r="L37" s="2"/>
      <c r="M37" s="2"/>
      <c r="N37" s="2"/>
      <c r="O37" s="7" t="s">
        <v>8</v>
      </c>
      <c r="P37" s="8">
        <f>P29</f>
        <v>38.01623276</v>
      </c>
      <c r="Q37" s="18">
        <f>RAND()* 100</f>
        <v>17.99812101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C38" s="7" t="s">
        <v>11</v>
      </c>
      <c r="D38" s="19">
        <f t="shared" ref="D38:E38" si="6">rand()</f>
        <v>0.1271854215</v>
      </c>
      <c r="E38" s="19">
        <f t="shared" si="6"/>
        <v>0.2706004476</v>
      </c>
      <c r="F38" s="19"/>
      <c r="G38" s="19"/>
      <c r="H38" s="19"/>
      <c r="I38" s="7" t="s">
        <v>11</v>
      </c>
      <c r="J38" s="19">
        <f t="shared" ref="J38:K38" si="7">rand()</f>
        <v>0.1398423447</v>
      </c>
      <c r="K38" s="19">
        <f t="shared" si="7"/>
        <v>0.06682091087</v>
      </c>
      <c r="L38" s="2"/>
      <c r="M38" s="2"/>
      <c r="N38" s="2"/>
      <c r="O38" s="7" t="s">
        <v>11</v>
      </c>
      <c r="P38" s="19">
        <f t="shared" ref="P38:Q38" si="8">rand()</f>
        <v>0.08784264411</v>
      </c>
      <c r="Q38" s="19">
        <f t="shared" si="8"/>
        <v>0.2275815494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C39" s="7"/>
      <c r="D39" s="2"/>
      <c r="E39" s="6"/>
      <c r="F39" s="2"/>
      <c r="G39" s="2"/>
      <c r="H39" s="2"/>
      <c r="I39" s="7"/>
      <c r="J39" s="2"/>
      <c r="K39" s="6"/>
      <c r="L39" s="2"/>
      <c r="M39" s="2"/>
      <c r="N39" s="2"/>
      <c r="O39" s="7"/>
      <c r="P39" s="2"/>
      <c r="Q39" s="6"/>
      <c r="R39" s="2"/>
      <c r="S39" s="2"/>
      <c r="T39" s="2"/>
      <c r="U39" s="2"/>
      <c r="V39" s="2"/>
      <c r="W39" s="2"/>
      <c r="X39" s="2"/>
      <c r="Y39" s="2"/>
      <c r="Z39" s="2"/>
    </row>
    <row r="40">
      <c r="C40" s="7" t="s">
        <v>12</v>
      </c>
      <c r="D40" s="2" t="str">
        <f>D27</f>
        <v>brown</v>
      </c>
      <c r="E40" s="27" t="s">
        <v>4</v>
      </c>
      <c r="F40" s="2"/>
      <c r="G40" s="2"/>
      <c r="H40" s="2"/>
      <c r="I40" s="7" t="s">
        <v>12</v>
      </c>
      <c r="J40" s="2" t="str">
        <f>J27</f>
        <v>brown</v>
      </c>
      <c r="K40" s="27" t="s">
        <v>13</v>
      </c>
      <c r="L40" s="2"/>
      <c r="M40" s="2"/>
      <c r="N40" s="2"/>
      <c r="O40" s="7" t="s">
        <v>12</v>
      </c>
      <c r="P40" s="2" t="str">
        <f>P27</f>
        <v>world</v>
      </c>
      <c r="Q40" s="27" t="s">
        <v>22</v>
      </c>
      <c r="R40" s="2"/>
      <c r="S40" s="2"/>
      <c r="T40" s="2"/>
      <c r="U40" s="2"/>
      <c r="V40" s="2"/>
      <c r="W40" s="2"/>
      <c r="X40" s="2"/>
      <c r="Y40" s="2"/>
      <c r="Z40" s="2"/>
    </row>
    <row r="41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7" t="s">
        <v>23</v>
      </c>
      <c r="K45" s="19">
        <f>rand()</f>
        <v>0.6564745917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24</v>
      </c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8" t="s">
        <v>25</v>
      </c>
      <c r="G49" s="14"/>
      <c r="H49" s="29" t="s">
        <v>26</v>
      </c>
      <c r="L49" s="14"/>
      <c r="M49" s="28" t="s">
        <v>27</v>
      </c>
      <c r="R49" s="2"/>
      <c r="S49" s="2"/>
      <c r="T49" s="2"/>
      <c r="U49" s="2"/>
      <c r="W49" s="2"/>
      <c r="X49" s="2"/>
      <c r="Y49" s="2"/>
      <c r="Z49" s="2"/>
    </row>
    <row r="50">
      <c r="B50" s="1"/>
      <c r="C50" s="30" t="s">
        <v>28</v>
      </c>
      <c r="G50" s="14"/>
      <c r="H50" s="31" t="s">
        <v>29</v>
      </c>
      <c r="L50" s="14"/>
      <c r="M50" s="32">
        <v>0.95</v>
      </c>
      <c r="R50" s="2"/>
      <c r="S50" s="2"/>
      <c r="T50" s="2"/>
      <c r="U50" s="2"/>
      <c r="W50" s="2"/>
      <c r="X50" s="2"/>
      <c r="Y50" s="2"/>
      <c r="Z50" s="2"/>
    </row>
    <row r="51">
      <c r="B51" s="1"/>
      <c r="C51" s="30" t="s">
        <v>28</v>
      </c>
      <c r="G51" s="14"/>
      <c r="H51" s="31" t="s">
        <v>30</v>
      </c>
      <c r="L51" s="14"/>
      <c r="M51" s="32">
        <v>0.05</v>
      </c>
      <c r="R51" s="2"/>
      <c r="S51" s="2"/>
      <c r="T51" s="2"/>
      <c r="U51" s="2"/>
      <c r="W51" s="2"/>
      <c r="X51" s="2"/>
      <c r="Y51" s="2"/>
      <c r="Z51" s="2"/>
    </row>
    <row r="52">
      <c r="B52" s="1"/>
      <c r="C52" s="30" t="s">
        <v>28</v>
      </c>
      <c r="G52" s="14"/>
      <c r="H52" s="31" t="s">
        <v>31</v>
      </c>
      <c r="L52" s="14"/>
      <c r="M52" s="32">
        <v>0.15</v>
      </c>
      <c r="R52" s="2"/>
      <c r="S52" s="2"/>
      <c r="T52" s="2"/>
      <c r="U52" s="2"/>
      <c r="W52" s="2"/>
      <c r="X52" s="2"/>
      <c r="Y52" s="2"/>
      <c r="Z52" s="2"/>
    </row>
    <row r="53">
      <c r="B53" s="1"/>
      <c r="C53" s="30" t="s">
        <v>28</v>
      </c>
      <c r="G53" s="14"/>
      <c r="H53" s="31" t="s">
        <v>32</v>
      </c>
      <c r="L53" s="14"/>
      <c r="M53" s="32">
        <v>0.9</v>
      </c>
      <c r="R53" s="2"/>
      <c r="S53" s="2"/>
      <c r="T53" s="2"/>
      <c r="U53" s="2"/>
      <c r="W53" s="2"/>
      <c r="X53" s="2"/>
      <c r="Y53" s="2"/>
      <c r="Z53" s="2"/>
    </row>
    <row r="54">
      <c r="B54" s="1"/>
      <c r="C54" s="30" t="s">
        <v>33</v>
      </c>
      <c r="G54" s="14"/>
      <c r="H54" s="31" t="s">
        <v>34</v>
      </c>
      <c r="L54" s="14"/>
      <c r="M54" s="32">
        <v>0.9</v>
      </c>
      <c r="R54" s="2"/>
      <c r="S54" s="2"/>
      <c r="T54" s="2"/>
      <c r="U54" s="2"/>
      <c r="W54" s="2"/>
      <c r="X54" s="2"/>
      <c r="Y54" s="2"/>
      <c r="Z54" s="2"/>
    </row>
    <row r="55">
      <c r="B55" s="1"/>
      <c r="C55" s="30" t="s">
        <v>33</v>
      </c>
      <c r="G55" s="14"/>
      <c r="H55" s="31" t="s">
        <v>35</v>
      </c>
      <c r="L55" s="14"/>
      <c r="M55" s="32">
        <v>0.05</v>
      </c>
      <c r="R55" s="2"/>
      <c r="S55" s="2"/>
      <c r="T55" s="2"/>
      <c r="U55" s="2"/>
      <c r="W55" s="2"/>
      <c r="X55" s="2"/>
      <c r="Y55" s="2"/>
      <c r="Z55" s="2"/>
    </row>
    <row r="56">
      <c r="B56" s="1"/>
      <c r="C56" s="30" t="s">
        <v>33</v>
      </c>
      <c r="G56" s="14"/>
      <c r="H56" s="31" t="s">
        <v>36</v>
      </c>
      <c r="L56" s="14"/>
      <c r="M56" s="32">
        <v>0.95</v>
      </c>
      <c r="R56" s="2"/>
      <c r="S56" s="2"/>
      <c r="T56" s="2"/>
      <c r="U56" s="2"/>
      <c r="W56" s="2"/>
      <c r="X56" s="2"/>
      <c r="Y56" s="2"/>
      <c r="Z56" s="2"/>
    </row>
    <row r="57">
      <c r="B57" s="1"/>
      <c r="C57" s="30" t="s">
        <v>37</v>
      </c>
      <c r="G57" s="14"/>
      <c r="H57" s="31" t="s">
        <v>38</v>
      </c>
      <c r="L57" s="14"/>
      <c r="M57" s="32">
        <v>0.85</v>
      </c>
      <c r="R57" s="2"/>
      <c r="S57" s="2"/>
      <c r="T57" s="2"/>
      <c r="U57" s="2"/>
      <c r="W57" s="2"/>
      <c r="X57" s="2"/>
      <c r="Y57" s="2"/>
      <c r="Z57" s="2"/>
    </row>
    <row r="58">
      <c r="B58" s="1"/>
      <c r="C58" s="30" t="s">
        <v>37</v>
      </c>
      <c r="G58" s="14"/>
      <c r="H58" s="31" t="s">
        <v>39</v>
      </c>
      <c r="L58" s="14"/>
      <c r="M58" s="32">
        <v>0.1</v>
      </c>
      <c r="R58" s="2"/>
      <c r="S58" s="2"/>
      <c r="T58" s="2"/>
      <c r="U58" s="2"/>
      <c r="W58" s="2"/>
      <c r="X58" s="2"/>
      <c r="Y58" s="2"/>
      <c r="Z58" s="2"/>
    </row>
    <row r="59">
      <c r="B59" s="1"/>
      <c r="C59" s="30" t="s">
        <v>37</v>
      </c>
      <c r="G59" s="14"/>
      <c r="H59" s="31" t="s">
        <v>40</v>
      </c>
      <c r="L59" s="14"/>
      <c r="M59" s="32">
        <v>0.25</v>
      </c>
      <c r="R59" s="2"/>
      <c r="S59" s="2"/>
      <c r="T59" s="2"/>
      <c r="U59" s="2"/>
      <c r="W59" s="2"/>
      <c r="X59" s="2"/>
      <c r="Y59" s="2"/>
      <c r="Z59" s="2"/>
    </row>
    <row r="60">
      <c r="B60" s="1"/>
      <c r="C60" s="30" t="s">
        <v>41</v>
      </c>
      <c r="G60" s="14"/>
      <c r="H60" s="31" t="s">
        <v>42</v>
      </c>
      <c r="L60" s="14"/>
      <c r="M60" s="32">
        <v>0.95</v>
      </c>
      <c r="R60" s="2"/>
      <c r="S60" s="2"/>
      <c r="T60" s="2"/>
      <c r="U60" s="2"/>
      <c r="W60" s="2"/>
      <c r="X60" s="2"/>
      <c r="Y60" s="2"/>
      <c r="Z60" s="2"/>
    </row>
    <row r="61">
      <c r="B61" s="1"/>
      <c r="C61" s="30" t="s">
        <v>41</v>
      </c>
      <c r="G61" s="14"/>
      <c r="H61" s="31" t="s">
        <v>43</v>
      </c>
      <c r="L61" s="14"/>
      <c r="M61" s="32">
        <v>0.0</v>
      </c>
      <c r="R61" s="2"/>
      <c r="S61" s="2"/>
      <c r="T61" s="2"/>
      <c r="U61" s="2"/>
      <c r="W61" s="2"/>
      <c r="X61" s="2"/>
      <c r="Y61" s="2"/>
      <c r="Z61" s="2"/>
    </row>
    <row r="62">
      <c r="B62" s="1"/>
      <c r="C62" s="30" t="s">
        <v>41</v>
      </c>
      <c r="G62" s="14"/>
      <c r="H62" s="31" t="s">
        <v>44</v>
      </c>
      <c r="L62" s="14"/>
      <c r="M62" s="32">
        <v>0.95</v>
      </c>
      <c r="R62" s="2"/>
      <c r="S62" s="2"/>
      <c r="T62" s="2"/>
      <c r="U62" s="2"/>
      <c r="W62" s="2"/>
      <c r="X62" s="2"/>
      <c r="Y62" s="2"/>
      <c r="Z62" s="2"/>
    </row>
    <row r="63">
      <c r="B63" s="1"/>
      <c r="C63" s="30" t="s">
        <v>45</v>
      </c>
      <c r="G63" s="14"/>
      <c r="H63" s="31" t="s">
        <v>46</v>
      </c>
      <c r="L63" s="14"/>
      <c r="M63" s="32">
        <v>0.95</v>
      </c>
      <c r="R63" s="2"/>
      <c r="S63" s="2"/>
      <c r="T63" s="2"/>
      <c r="U63" s="2"/>
      <c r="W63" s="2"/>
      <c r="X63" s="2"/>
      <c r="Y63" s="2"/>
      <c r="Z63" s="2"/>
    </row>
    <row r="64">
      <c r="B64" s="1"/>
      <c r="C64" s="30" t="s">
        <v>45</v>
      </c>
      <c r="G64" s="14"/>
      <c r="H64" s="31" t="s">
        <v>47</v>
      </c>
      <c r="L64" s="14"/>
      <c r="M64" s="32">
        <v>0.0</v>
      </c>
      <c r="R64" s="2"/>
      <c r="S64" s="2"/>
      <c r="T64" s="2"/>
      <c r="U64" s="2"/>
      <c r="W64" s="2"/>
      <c r="X64" s="2"/>
      <c r="Y64" s="2"/>
      <c r="Z64" s="2"/>
    </row>
    <row r="65">
      <c r="B65" s="1"/>
      <c r="C65" s="30" t="s">
        <v>45</v>
      </c>
      <c r="G65" s="14"/>
      <c r="H65" s="31" t="s">
        <v>48</v>
      </c>
      <c r="L65" s="14"/>
      <c r="M65" s="32">
        <v>0.05</v>
      </c>
      <c r="R65" s="2"/>
      <c r="S65" s="2"/>
      <c r="T65" s="2"/>
      <c r="U65" s="2"/>
      <c r="W65" s="2"/>
      <c r="X65" s="2"/>
      <c r="Y65" s="2"/>
      <c r="Z65" s="2"/>
    </row>
    <row r="66">
      <c r="B66" s="1"/>
      <c r="C66" s="30" t="s">
        <v>49</v>
      </c>
      <c r="G66" s="14"/>
      <c r="H66" s="31" t="s">
        <v>50</v>
      </c>
      <c r="L66" s="14"/>
      <c r="M66" s="32">
        <v>0.9</v>
      </c>
      <c r="R66" s="2"/>
      <c r="S66" s="2"/>
      <c r="T66" s="2"/>
      <c r="U66" s="2"/>
      <c r="W66" s="2"/>
      <c r="X66" s="2"/>
      <c r="Y66" s="2"/>
      <c r="Z66" s="2"/>
    </row>
    <row r="67">
      <c r="B67" s="1"/>
      <c r="C67" s="30" t="s">
        <v>49</v>
      </c>
      <c r="G67" s="14"/>
      <c r="H67" s="31" t="s">
        <v>51</v>
      </c>
      <c r="L67" s="14"/>
      <c r="M67" s="32">
        <v>0.95</v>
      </c>
      <c r="R67" s="2"/>
      <c r="S67" s="2"/>
      <c r="T67" s="2"/>
      <c r="U67" s="2"/>
      <c r="W67" s="2"/>
      <c r="X67" s="2"/>
      <c r="Y67" s="2"/>
      <c r="Z67" s="2"/>
    </row>
    <row r="68">
      <c r="B68" s="1"/>
      <c r="C68" s="30" t="s">
        <v>49</v>
      </c>
      <c r="G68" s="14"/>
      <c r="H68" s="31" t="s">
        <v>52</v>
      </c>
      <c r="L68" s="14"/>
      <c r="M68" s="32">
        <v>0.05</v>
      </c>
      <c r="R68" s="2"/>
      <c r="S68" s="2"/>
      <c r="T68" s="2"/>
      <c r="U68" s="2"/>
      <c r="W68" s="2"/>
      <c r="X68" s="2"/>
      <c r="Y68" s="2"/>
      <c r="Z68" s="2"/>
    </row>
    <row r="69">
      <c r="B69" s="1"/>
      <c r="C69" s="30" t="s">
        <v>53</v>
      </c>
      <c r="G69" s="14"/>
      <c r="H69" s="31" t="s">
        <v>54</v>
      </c>
      <c r="L69" s="14"/>
      <c r="M69" s="32">
        <v>0.85</v>
      </c>
      <c r="R69" s="2"/>
      <c r="S69" s="2"/>
      <c r="T69" s="2"/>
      <c r="U69" s="2"/>
      <c r="W69" s="2"/>
      <c r="X69" s="2"/>
      <c r="Y69" s="2"/>
      <c r="Z69" s="2"/>
    </row>
    <row r="70">
      <c r="B70" s="1"/>
      <c r="C70" s="30" t="s">
        <v>53</v>
      </c>
      <c r="G70" s="14"/>
      <c r="H70" s="31" t="s">
        <v>55</v>
      </c>
      <c r="L70" s="14"/>
      <c r="M70" s="32">
        <v>0.3</v>
      </c>
      <c r="R70" s="2"/>
      <c r="S70" s="2"/>
      <c r="T70" s="2"/>
      <c r="U70" s="2"/>
      <c r="W70" s="2"/>
      <c r="X70" s="2"/>
      <c r="Y70" s="2"/>
      <c r="Z70" s="2"/>
    </row>
    <row r="71">
      <c r="B71" s="1"/>
      <c r="C71" s="30" t="s">
        <v>53</v>
      </c>
      <c r="G71" s="14"/>
      <c r="H71" s="31" t="s">
        <v>56</v>
      </c>
      <c r="L71" s="14"/>
      <c r="M71" s="32">
        <v>0.0</v>
      </c>
      <c r="R71" s="2"/>
      <c r="S71" s="2"/>
      <c r="T71" s="2"/>
      <c r="U71" s="2"/>
      <c r="W71" s="2"/>
      <c r="X71" s="2"/>
      <c r="Y71" s="2"/>
      <c r="Z71" s="2"/>
    </row>
    <row r="72">
      <c r="B72" s="1"/>
      <c r="C72" s="30" t="s">
        <v>57</v>
      </c>
      <c r="G72" s="14"/>
      <c r="H72" s="31" t="s">
        <v>58</v>
      </c>
      <c r="L72" s="14"/>
      <c r="M72" s="32">
        <v>0.9</v>
      </c>
      <c r="R72" s="2"/>
      <c r="S72" s="2"/>
      <c r="T72" s="2"/>
      <c r="U72" s="2"/>
      <c r="W72" s="2"/>
      <c r="X72" s="2"/>
      <c r="Y72" s="2"/>
      <c r="Z72" s="2"/>
    </row>
    <row r="73">
      <c r="B73" s="1"/>
      <c r="C73" s="30" t="s">
        <v>57</v>
      </c>
      <c r="G73" s="14"/>
      <c r="H73" s="31" t="s">
        <v>59</v>
      </c>
      <c r="L73" s="14"/>
      <c r="M73" s="32">
        <v>0.95</v>
      </c>
      <c r="R73" s="2"/>
      <c r="S73" s="2"/>
      <c r="T73" s="2"/>
      <c r="U73" s="2"/>
      <c r="W73" s="2"/>
      <c r="X73" s="2"/>
      <c r="Y73" s="2"/>
      <c r="Z73" s="2"/>
    </row>
    <row r="74">
      <c r="B74" s="1"/>
      <c r="C74" s="30" t="s">
        <v>57</v>
      </c>
      <c r="G74" s="14"/>
      <c r="H74" s="31" t="s">
        <v>60</v>
      </c>
      <c r="L74" s="14"/>
      <c r="M74" s="32">
        <v>0.0</v>
      </c>
      <c r="R74" s="2"/>
      <c r="S74" s="2"/>
      <c r="T74" s="2"/>
      <c r="U74" s="2"/>
      <c r="W74" s="2"/>
      <c r="X74" s="2"/>
      <c r="Y74" s="2"/>
      <c r="Z74" s="2"/>
    </row>
    <row r="75">
      <c r="B75" s="1"/>
      <c r="C75" s="30" t="s">
        <v>61</v>
      </c>
      <c r="G75" s="14"/>
      <c r="H75" s="31" t="s">
        <v>62</v>
      </c>
      <c r="L75" s="14"/>
      <c r="M75" s="32">
        <v>0.9</v>
      </c>
      <c r="R75" s="2"/>
      <c r="S75" s="2"/>
      <c r="T75" s="2"/>
      <c r="U75" s="2"/>
      <c r="W75" s="2"/>
      <c r="X75" s="2"/>
      <c r="Y75" s="2"/>
      <c r="Z75" s="2"/>
    </row>
    <row r="76">
      <c r="B76" s="1"/>
      <c r="C76" s="30" t="s">
        <v>61</v>
      </c>
      <c r="G76" s="14"/>
      <c r="H76" s="31" t="s">
        <v>63</v>
      </c>
      <c r="L76" s="14"/>
      <c r="M76" s="32">
        <v>0.95</v>
      </c>
      <c r="R76" s="2"/>
      <c r="S76" s="2"/>
      <c r="T76" s="2"/>
      <c r="U76" s="2"/>
      <c r="W76" s="2"/>
      <c r="X76" s="2"/>
      <c r="Y76" s="2"/>
      <c r="Z76" s="2"/>
    </row>
    <row r="77">
      <c r="B77" s="1"/>
      <c r="C77" s="30" t="s">
        <v>61</v>
      </c>
      <c r="G77" s="14"/>
      <c r="H77" s="31" t="s">
        <v>64</v>
      </c>
      <c r="L77" s="14"/>
      <c r="M77" s="32">
        <v>0.0</v>
      </c>
      <c r="R77" s="2"/>
      <c r="S77" s="2"/>
      <c r="T77" s="2"/>
      <c r="U77" s="2"/>
      <c r="W77" s="2"/>
      <c r="X77" s="2"/>
      <c r="Y77" s="2"/>
      <c r="Z77" s="2"/>
    </row>
    <row r="78">
      <c r="B78" s="1"/>
      <c r="C78" s="30" t="s">
        <v>65</v>
      </c>
      <c r="G78" s="14"/>
      <c r="H78" s="31" t="s">
        <v>66</v>
      </c>
      <c r="L78" s="14"/>
      <c r="M78" s="32">
        <v>0.9</v>
      </c>
      <c r="R78" s="2"/>
      <c r="S78" s="2"/>
      <c r="T78" s="2"/>
      <c r="U78" s="2"/>
      <c r="W78" s="2"/>
      <c r="X78" s="2"/>
      <c r="Y78" s="2"/>
      <c r="Z78" s="2"/>
    </row>
    <row r="79">
      <c r="B79" s="1"/>
      <c r="C79" s="30" t="s">
        <v>65</v>
      </c>
      <c r="G79" s="14"/>
      <c r="H79" s="31" t="s">
        <v>67</v>
      </c>
      <c r="L79" s="14"/>
      <c r="M79" s="32">
        <v>0.0</v>
      </c>
      <c r="R79" s="2"/>
      <c r="S79" s="2"/>
      <c r="T79" s="2"/>
      <c r="U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68</v>
      </c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33" t="s">
        <v>69</v>
      </c>
      <c r="D83" s="11"/>
      <c r="E83" s="12"/>
      <c r="F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13"/>
      <c r="E84" s="14"/>
      <c r="F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15"/>
      <c r="D85" s="16"/>
      <c r="E85" s="17"/>
      <c r="F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34" t="s">
        <v>70</v>
      </c>
      <c r="D86" s="35"/>
      <c r="E86" s="3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9" t="s">
        <v>9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9" t="s">
        <v>9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37" t="s">
        <v>71</v>
      </c>
      <c r="D89" s="11"/>
      <c r="E89" s="12"/>
      <c r="F89" s="2"/>
      <c r="G89" s="2"/>
      <c r="H89" s="33" t="s">
        <v>72</v>
      </c>
      <c r="I89" s="11"/>
      <c r="J89" s="1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1"/>
      <c r="C90" s="13"/>
      <c r="E90" s="14"/>
      <c r="F90" s="9" t="s">
        <v>73</v>
      </c>
      <c r="G90" s="9" t="s">
        <v>73</v>
      </c>
      <c r="H90" s="13"/>
      <c r="J90" s="1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1"/>
      <c r="C91" s="15"/>
      <c r="D91" s="16"/>
      <c r="E91" s="17"/>
      <c r="F91" s="2"/>
      <c r="G91" s="2"/>
      <c r="H91" s="15"/>
      <c r="I91" s="16"/>
      <c r="J91" s="1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1"/>
      <c r="C92" s="2"/>
      <c r="D92" s="9" t="s">
        <v>9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9" t="s">
        <v>9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33" t="s">
        <v>74</v>
      </c>
      <c r="D94" s="11"/>
      <c r="E94" s="1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13"/>
      <c r="E95" s="1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15"/>
      <c r="D96" s="16"/>
      <c r="E96" s="1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8" t="s">
        <v>75</v>
      </c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7" t="s">
        <v>76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7" t="s">
        <v>77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7" t="s">
        <v>78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3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3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8" t="s">
        <v>79</v>
      </c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E125" s="2"/>
      <c r="F125" s="7" t="s">
        <v>80</v>
      </c>
      <c r="G125" s="39" t="s">
        <v>81</v>
      </c>
      <c r="H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C127" s="7" t="s">
        <v>82</v>
      </c>
      <c r="D127" s="39" t="s">
        <v>83</v>
      </c>
      <c r="E127" s="2"/>
      <c r="F127" s="2"/>
      <c r="G127" s="2"/>
      <c r="H127" s="2"/>
      <c r="K127" s="2"/>
      <c r="L127" s="7" t="s">
        <v>84</v>
      </c>
      <c r="M127" s="40" t="s">
        <v>85</v>
      </c>
      <c r="N127" s="2"/>
      <c r="O127" s="2"/>
      <c r="P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7" t="s">
        <v>86</v>
      </c>
      <c r="D129" s="39" t="s">
        <v>87</v>
      </c>
      <c r="E129" s="2"/>
      <c r="F129" s="2"/>
      <c r="G129" s="2"/>
      <c r="H129" s="2"/>
      <c r="I129" s="2"/>
      <c r="J129" s="2"/>
      <c r="K129" s="2"/>
      <c r="L129" s="7" t="s">
        <v>88</v>
      </c>
      <c r="M129" s="39" t="s">
        <v>89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7"/>
      <c r="F130" s="2"/>
      <c r="G130" s="9" t="s">
        <v>9</v>
      </c>
      <c r="H130" s="2"/>
      <c r="I130" s="2"/>
      <c r="J130" s="2"/>
      <c r="K130" s="2"/>
      <c r="L130" s="2"/>
      <c r="M130" s="2"/>
      <c r="N130" s="9" t="s">
        <v>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8" t="s">
        <v>90</v>
      </c>
    </row>
    <row r="132">
      <c r="B132" s="1"/>
      <c r="C132" s="2"/>
      <c r="D132" s="2"/>
      <c r="E132" s="2"/>
      <c r="F132" s="2"/>
      <c r="G132" s="9" t="s">
        <v>9</v>
      </c>
      <c r="H132" s="2"/>
      <c r="I132" s="2"/>
      <c r="J132" s="2"/>
      <c r="K132" s="2"/>
      <c r="L132" s="2"/>
      <c r="M132" s="2"/>
      <c r="N132" s="9" t="s">
        <v>9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6" t="s">
        <v>10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13"/>
      <c r="R134" s="14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15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7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9" t="s">
        <v>9</v>
      </c>
      <c r="H136" s="2"/>
      <c r="I136" s="2"/>
      <c r="J136" s="2"/>
      <c r="K136" s="2"/>
      <c r="L136" s="2"/>
      <c r="M136" s="2"/>
      <c r="O136" s="2"/>
      <c r="P136" s="9" t="s">
        <v>9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9" t="s">
        <v>9</v>
      </c>
      <c r="H137" s="2"/>
      <c r="I137" s="2"/>
      <c r="J137" s="2"/>
      <c r="K137" s="2"/>
      <c r="L137" s="2"/>
      <c r="M137" s="2"/>
      <c r="O137" s="2"/>
      <c r="P137" s="9" t="s">
        <v>9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7" t="s">
        <v>91</v>
      </c>
      <c r="C138" s="8">
        <f t="shared" ref="C138:I138" si="9">rand()*100</f>
        <v>7.420925843</v>
      </c>
      <c r="D138" s="8">
        <f t="shared" si="9"/>
        <v>18.27074308</v>
      </c>
      <c r="E138" s="8">
        <f t="shared" si="9"/>
        <v>11.34569927</v>
      </c>
      <c r="F138" s="8">
        <f t="shared" si="9"/>
        <v>49.4311473</v>
      </c>
      <c r="G138" s="8">
        <f t="shared" si="9"/>
        <v>87.50243736</v>
      </c>
      <c r="H138" s="8">
        <f t="shared" si="9"/>
        <v>30.97560993</v>
      </c>
      <c r="I138" s="8">
        <f t="shared" si="9"/>
        <v>22.19248345</v>
      </c>
      <c r="J138" s="2"/>
      <c r="K138" s="2"/>
      <c r="L138" s="8">
        <f t="array" ref="L138:O139">C138:F139</f>
        <v>7.420925843</v>
      </c>
      <c r="M138" s="8">
        <v>18.270743079430908</v>
      </c>
      <c r="N138" s="8">
        <v>11.34569926770328</v>
      </c>
      <c r="O138" s="8">
        <v>49.43114729605161</v>
      </c>
      <c r="P138" s="8">
        <f t="shared" ref="P138:R138" si="10">rand()*100</f>
        <v>67.5063915</v>
      </c>
      <c r="Q138" s="8">
        <f t="shared" si="10"/>
        <v>82.81686229</v>
      </c>
      <c r="R138" s="8">
        <f t="shared" si="10"/>
        <v>69.5907309</v>
      </c>
      <c r="S138" s="2"/>
      <c r="T138" s="2"/>
      <c r="U138" s="2"/>
      <c r="V138" s="2"/>
      <c r="W138" s="2"/>
      <c r="X138" s="2"/>
      <c r="Y138" s="2"/>
      <c r="Z138" s="2"/>
    </row>
    <row r="139">
      <c r="B139" s="7" t="s">
        <v>92</v>
      </c>
      <c r="C139" s="41">
        <f t="shared" ref="C139:I139" si="11">rand()</f>
        <v>0.9380243516</v>
      </c>
      <c r="D139" s="41">
        <f t="shared" si="11"/>
        <v>0.1630362813</v>
      </c>
      <c r="E139" s="41">
        <f t="shared" si="11"/>
        <v>0.1956802986</v>
      </c>
      <c r="F139" s="41">
        <f t="shared" si="11"/>
        <v>0.6010612831</v>
      </c>
      <c r="G139" s="41">
        <f t="shared" si="11"/>
        <v>0.4004894822</v>
      </c>
      <c r="H139" s="41">
        <f t="shared" si="11"/>
        <v>0.09961708579</v>
      </c>
      <c r="I139" s="41">
        <f t="shared" si="11"/>
        <v>0.005810137022</v>
      </c>
      <c r="J139" s="2"/>
      <c r="K139" s="2"/>
      <c r="L139" s="41">
        <v>0.9380243515847236</v>
      </c>
      <c r="M139" s="41">
        <v>0.16303628125054226</v>
      </c>
      <c r="N139" s="41">
        <v>0.19568029855636448</v>
      </c>
      <c r="O139" s="41">
        <v>0.6010612830828168</v>
      </c>
      <c r="P139" s="41">
        <f t="shared" ref="P139:R139" si="12">rand()</f>
        <v>0.8971493001</v>
      </c>
      <c r="Q139" s="41">
        <f t="shared" si="12"/>
        <v>0.1993897779</v>
      </c>
      <c r="R139" s="41">
        <f t="shared" si="12"/>
        <v>0.9700367125</v>
      </c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8" t="s">
        <v>93</v>
      </c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42" t="s">
        <v>94</v>
      </c>
      <c r="C151" s="43">
        <f t="array" ref="C151:I151">C139:I139</f>
        <v>0.9380243516</v>
      </c>
      <c r="D151" s="43">
        <v>0.16303628125054226</v>
      </c>
      <c r="E151" s="43">
        <v>0.19568029855636448</v>
      </c>
      <c r="F151" s="43">
        <v>0.6010612830828168</v>
      </c>
      <c r="G151" s="43">
        <v>0.4004894822427859</v>
      </c>
      <c r="H151" s="43">
        <v>0.09961708579278472</v>
      </c>
      <c r="I151" s="43">
        <v>0.005810137022250417</v>
      </c>
      <c r="J151" s="44"/>
      <c r="K151" s="42" t="s">
        <v>95</v>
      </c>
      <c r="L151" s="43">
        <f t="array" ref="L151:R151">L139:R139</f>
        <v>0.9380243516</v>
      </c>
      <c r="M151" s="43">
        <v>0.16303628125054226</v>
      </c>
      <c r="N151" s="43">
        <v>0.19568029855636448</v>
      </c>
      <c r="O151" s="43">
        <v>0.6010612830828168</v>
      </c>
      <c r="P151" s="43">
        <v>0.8971493001021831</v>
      </c>
      <c r="Q151" s="43">
        <v>0.19938977787947554</v>
      </c>
      <c r="R151" s="43">
        <v>0.9700367125202817</v>
      </c>
      <c r="S151" s="2"/>
      <c r="T151" s="2"/>
      <c r="U151" s="2"/>
      <c r="V151" s="2"/>
      <c r="W151" s="2"/>
      <c r="X151" s="2"/>
      <c r="Y151" s="2"/>
      <c r="Z151" s="2"/>
    </row>
    <row r="152">
      <c r="B152" s="7" t="s">
        <v>11</v>
      </c>
      <c r="C152" s="7"/>
      <c r="D152" s="19"/>
      <c r="E152" s="2"/>
      <c r="F152" s="2"/>
      <c r="G152" s="2"/>
      <c r="H152" s="2"/>
      <c r="I152" s="2"/>
      <c r="J152" s="2"/>
      <c r="K152" s="7" t="s">
        <v>11</v>
      </c>
      <c r="L152" s="7"/>
      <c r="M152" s="19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7"/>
      <c r="D153" s="19"/>
      <c r="E153" s="2"/>
      <c r="F153" s="2"/>
      <c r="G153" s="2"/>
      <c r="H153" s="2"/>
      <c r="I153" s="2"/>
      <c r="J153" s="2"/>
      <c r="L153" s="7"/>
      <c r="M153" s="19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7" t="s">
        <v>96</v>
      </c>
      <c r="D154" s="19">
        <f>AVERAGE(LN(C151:I151))</f>
        <v>-1.813782519</v>
      </c>
      <c r="E154" s="2"/>
      <c r="F154" s="2"/>
      <c r="G154" s="2"/>
      <c r="H154" s="2"/>
      <c r="I154" s="2"/>
      <c r="J154" s="2"/>
      <c r="K154" s="7" t="s">
        <v>97</v>
      </c>
      <c r="L154" s="19">
        <f>AVERAGE(LN(L151:R151))</f>
        <v>-0.06397936914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8" t="s">
        <v>98</v>
      </c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7" t="s">
        <v>99</v>
      </c>
      <c r="E165" s="45">
        <v>2.0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7" t="s">
        <v>100</v>
      </c>
      <c r="E166" s="45">
        <v>0.5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7" t="s">
        <v>101</v>
      </c>
      <c r="E168" s="19">
        <f>E165*(D154-L154)-E166</f>
        <v>-3.999606299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7" t="s">
        <v>102</v>
      </c>
      <c r="E170" s="19">
        <f>1/(1+EXP(-E168))</f>
        <v>0.01799316511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4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7" t="s">
        <v>103</v>
      </c>
      <c r="E172" s="47">
        <f>-LN(E170)</f>
        <v>4.017763309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9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D179" s="10" t="s">
        <v>10</v>
      </c>
      <c r="E179" s="11"/>
      <c r="F179" s="1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D180" s="13"/>
      <c r="F180" s="1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D181" s="15"/>
      <c r="E181" s="16"/>
      <c r="F181" s="1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</sheetData>
  <mergeCells count="83">
    <mergeCell ref="H70:L70"/>
    <mergeCell ref="H71:L71"/>
    <mergeCell ref="H63:L63"/>
    <mergeCell ref="H64:L64"/>
    <mergeCell ref="H65:L65"/>
    <mergeCell ref="H66:L66"/>
    <mergeCell ref="H67:L67"/>
    <mergeCell ref="H68:L68"/>
    <mergeCell ref="H69:L69"/>
    <mergeCell ref="H78:L78"/>
    <mergeCell ref="H79:L79"/>
    <mergeCell ref="A81:Z81"/>
    <mergeCell ref="C74:G74"/>
    <mergeCell ref="H74:L74"/>
    <mergeCell ref="C75:G75"/>
    <mergeCell ref="H75:L75"/>
    <mergeCell ref="C76:G76"/>
    <mergeCell ref="H76:L76"/>
    <mergeCell ref="H77:L77"/>
    <mergeCell ref="C94:E96"/>
    <mergeCell ref="A98:Z98"/>
    <mergeCell ref="A122:Z122"/>
    <mergeCell ref="A131:Z131"/>
    <mergeCell ref="E133:R135"/>
    <mergeCell ref="A141:Z141"/>
    <mergeCell ref="A156:Z156"/>
    <mergeCell ref="D179:F181"/>
    <mergeCell ref="C77:G77"/>
    <mergeCell ref="C78:G78"/>
    <mergeCell ref="C79:G79"/>
    <mergeCell ref="C83:E85"/>
    <mergeCell ref="C86:E86"/>
    <mergeCell ref="C89:E91"/>
    <mergeCell ref="H89:J91"/>
    <mergeCell ref="A2:Z2"/>
    <mergeCell ref="D9:F11"/>
    <mergeCell ref="A23:Z23"/>
    <mergeCell ref="A25:D25"/>
    <mergeCell ref="G25:J25"/>
    <mergeCell ref="M25:P25"/>
    <mergeCell ref="D32:Q34"/>
    <mergeCell ref="A47:Z47"/>
    <mergeCell ref="C49:G49"/>
    <mergeCell ref="H49:L49"/>
    <mergeCell ref="C50:G50"/>
    <mergeCell ref="H50:L50"/>
    <mergeCell ref="C51:G51"/>
    <mergeCell ref="H51:L51"/>
    <mergeCell ref="C52:G52"/>
    <mergeCell ref="H52:L52"/>
    <mergeCell ref="C53:G53"/>
    <mergeCell ref="H53:L53"/>
    <mergeCell ref="C54:G54"/>
    <mergeCell ref="H54:L54"/>
    <mergeCell ref="H55:L55"/>
    <mergeCell ref="C55:G55"/>
    <mergeCell ref="C56:G56"/>
    <mergeCell ref="C57:G57"/>
    <mergeCell ref="C58:G58"/>
    <mergeCell ref="C59:G59"/>
    <mergeCell ref="C60:G60"/>
    <mergeCell ref="C61:G61"/>
    <mergeCell ref="H56:L56"/>
    <mergeCell ref="H57:L57"/>
    <mergeCell ref="H58:L58"/>
    <mergeCell ref="H59:L59"/>
    <mergeCell ref="H60:L60"/>
    <mergeCell ref="H61:L61"/>
    <mergeCell ref="H62:L62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H72:L72"/>
    <mergeCell ref="C73:G73"/>
    <mergeCell ref="H73:L73"/>
  </mergeCells>
  <drawing r:id="rId1"/>
</worksheet>
</file>