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<sst xmlns="http://schemas.openxmlformats.org/spreadsheetml/2006/main" count="228" uniqueCount="60">
  <si>
    <t>Feed forward and Bakcpropogation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</si>
  <si>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</si>
  <si>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</si>
  <si>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</si>
  <si>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</si>
  <si>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</si>
  <si>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</si>
  <si>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</si>
  <si>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</si>
  <si>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</si>
  <si>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</si>
  <si>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</si>
  <si>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</si>
  <si>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</si>
  <si>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</si>
  <si>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</si>
  <si>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</si>
  <si>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</si>
  <si>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</si>
  <si>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</si>
  <si>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</si>
  <si>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</si>
  <si>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</si>
  <si>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</t>
  </si>
  <si>
    <t>SimPO - formulas (formal and human readable)</t>
  </si>
  <si>
    <t>Formal</t>
  </si>
  <si>
    <t>Human</t>
  </si>
  <si>
    <t>readable</t>
  </si>
  <si>
    <t xml:space="preserve">where sigmoid is the sigmoid activation function we've seen earlier </t>
  </si>
  <si>
    <t>where gamma and beta are hyperparameters (read: constants)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</si>
  <si>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</si>
  <si>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</si>
  <si>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</si>
  <si>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</si>
  <si>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</si>
  <si>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</si>
  <si>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</si>
  <si>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</si>
  <si>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</si>
  <si>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</si>
  <si>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</si>
  <si>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</si>
  <si>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</si>
  <si>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</si>
  <si>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</si>
  <si>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</si>
  <si>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</si>
  <si>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</si>
  <si>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rejected reward</t>
  </si>
  <si>
    <t>SimPO - loss</t>
  </si>
  <si>
    <t>beta</t>
  </si>
  <si>
    <t>gamma</t>
  </si>
  <si>
    <t>reward margin</t>
  </si>
  <si>
    <t>sigmoid (reward margin)</t>
  </si>
  <si>
    <t>loss</t>
  </si>
  <si>
    <t>Feed forward and pretraining backpropagation</t>
  </si>
  <si>
    <t>AVERAGE(LN(C101:I101))</t>
  </si>
  <si>
    <t>AVERAGE(LN(L101:R101))</t>
  </si>
  <si>
    <t>[FILL]</t>
  </si>
  <si>
    <t>-LN(E120)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</si>
</sst>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2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9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1" numFmtId="2" xfId="0" applyAlignment="1" applyFont="1" applyNumberFormat="1">
      <alignment horizontal="center"/>
    </xf>
    <xf borderId="0" fillId="0" fontId="2" numFmtId="2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1</v>
      </c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2</v>
      </c>
      <c r="I5" s="6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8</v>
      </c>
      <c r="C7" s="8">
        <f t="shared" ref="C7:I7" si="1">RAND()* 100</f>
        <v>96.49264495</v>
      </c>
      <c r="D7" s="8">
        <f t="shared" si="1"/>
        <v>32.86642931</v>
      </c>
      <c r="E7" s="8">
        <f t="shared" si="1"/>
        <v>76.51608049</v>
      </c>
      <c r="F7" s="8">
        <f t="shared" si="1"/>
        <v>68.29482403</v>
      </c>
      <c r="G7" s="8">
        <f t="shared" si="1"/>
        <v>91.47031688</v>
      </c>
      <c r="H7" s="8">
        <f t="shared" si="1"/>
        <v>33.01111401</v>
      </c>
      <c r="I7" s="8">
        <f t="shared" si="1"/>
        <v>9.567209752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9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10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8</v>
      </c>
      <c r="C15" s="2"/>
      <c r="D15" s="8">
        <f t="array" ref="D15:I15">D7:I7</f>
        <v>32.86642931</v>
      </c>
      <c r="E15" s="8">
        <v>76.51608049096494</v>
      </c>
      <c r="F15" s="8">
        <v>68.2948240251954</v>
      </c>
      <c r="G15" s="8">
        <v>91.47031687905474</v>
      </c>
      <c r="H15" s="8">
        <v>33.0111140105084</v>
      </c>
      <c r="I15" s="8">
        <v>9.567209752248207</v>
      </c>
      <c r="J15" s="18">
        <f>RAND()* 100</f>
        <v>17.92864621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11</v>
      </c>
      <c r="C16" s="2"/>
      <c r="D16" s="19">
        <f t="shared" ref="D16:J16" si="2">rand()</f>
        <v>0.004314313555</v>
      </c>
      <c r="E16" s="19">
        <f t="shared" si="2"/>
        <v>0.9567426373</v>
      </c>
      <c r="F16" s="19">
        <f t="shared" si="2"/>
        <v>0.6679858303</v>
      </c>
      <c r="G16" s="19">
        <f t="shared" si="2"/>
        <v>0.1461763025</v>
      </c>
      <c r="H16" s="19">
        <f t="shared" si="2"/>
        <v>0.7181921367</v>
      </c>
      <c r="I16" s="19">
        <f t="shared" si="2"/>
        <v>0.5113171063</v>
      </c>
      <c r="J16" s="19">
        <f t="shared" si="2"/>
        <v>0.4801341814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12</v>
      </c>
      <c r="C18" s="2"/>
      <c r="D18" s="2" t="str">
        <f t="array" ref="D18:I18">D5:I5</f>
        <v>brown</v>
      </c>
      <c r="E18" s="2" t="s">
        <v>4</v>
      </c>
      <c r="F18" s="2" t="s">
        <v>5</v>
      </c>
      <c r="G18" s="2" t="s">
        <v>6</v>
      </c>
      <c r="H18" s="2" t="s">
        <v>2</v>
      </c>
      <c r="I18" s="2" t="s">
        <v>7</v>
      </c>
      <c r="J18" s="20" t="s">
        <v>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14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15</v>
      </c>
      <c r="I21" s="21">
        <f>J16</f>
        <v>0.4801341814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16</v>
      </c>
      <c r="I22" s="19">
        <f>RAND()</f>
        <v>0.180762625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17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18</v>
      </c>
      <c r="E26" s="23"/>
      <c r="F26" s="23"/>
      <c r="G26" s="24" t="s">
        <v>19</v>
      </c>
      <c r="K26" s="23"/>
      <c r="L26" s="23"/>
      <c r="M26" s="24" t="s">
        <v>19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1</v>
      </c>
      <c r="C28" s="5" t="s">
        <v>2</v>
      </c>
      <c r="D28" s="6" t="s">
        <v>3</v>
      </c>
      <c r="E28" s="6"/>
      <c r="F28" s="6"/>
      <c r="G28" s="6"/>
      <c r="H28" s="4" t="s">
        <v>1</v>
      </c>
      <c r="I28" s="5" t="s">
        <v>2</v>
      </c>
      <c r="J28" s="6" t="s">
        <v>3</v>
      </c>
      <c r="K28" s="2"/>
      <c r="L28" s="2"/>
      <c r="M28" s="2"/>
      <c r="N28" s="4" t="s">
        <v>1</v>
      </c>
      <c r="O28" s="25" t="s">
        <v>20</v>
      </c>
      <c r="P28" s="25" t="s">
        <v>21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8</v>
      </c>
      <c r="C30" s="8">
        <f t="shared" ref="C30:D30" si="3">RAND()* 100</f>
        <v>11.29045574</v>
      </c>
      <c r="D30" s="8">
        <f t="shared" si="3"/>
        <v>76.72895664</v>
      </c>
      <c r="E30" s="8"/>
      <c r="F30" s="8"/>
      <c r="G30" s="8"/>
      <c r="H30" s="7" t="s">
        <v>8</v>
      </c>
      <c r="I30" s="8">
        <f t="shared" ref="I30:J30" si="4">C30</f>
        <v>11.29045574</v>
      </c>
      <c r="J30" s="8">
        <f t="shared" si="4"/>
        <v>76.72895664</v>
      </c>
      <c r="K30" s="2"/>
      <c r="L30" s="2"/>
      <c r="M30" s="2"/>
      <c r="N30" s="7" t="s">
        <v>8</v>
      </c>
      <c r="O30" s="8">
        <f t="shared" ref="O30:P30" si="5">RAND()* 100</f>
        <v>27.28200366</v>
      </c>
      <c r="P30" s="8">
        <f t="shared" si="5"/>
        <v>63.544503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9</v>
      </c>
      <c r="F31" s="2"/>
      <c r="G31" s="2"/>
      <c r="H31" s="1"/>
      <c r="I31" s="2"/>
      <c r="J31" s="9" t="s">
        <v>9</v>
      </c>
      <c r="K31" s="2"/>
      <c r="L31" s="2"/>
      <c r="M31" s="2"/>
      <c r="N31" s="1"/>
      <c r="O31" s="2"/>
      <c r="P31" s="9" t="s">
        <v>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9</v>
      </c>
      <c r="F32" s="2"/>
      <c r="G32" s="2"/>
      <c r="H32" s="1"/>
      <c r="I32" s="2"/>
      <c r="J32" s="9" t="s">
        <v>9</v>
      </c>
      <c r="K32" s="2"/>
      <c r="L32" s="2"/>
      <c r="M32" s="2"/>
      <c r="N32" s="1"/>
      <c r="O32" s="2"/>
      <c r="P32" s="9" t="s">
        <v>9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9</v>
      </c>
      <c r="F36" s="2"/>
      <c r="G36" s="2"/>
      <c r="H36" s="2"/>
      <c r="I36" s="2"/>
      <c r="J36" s="2"/>
      <c r="K36" s="9" t="s">
        <v>9</v>
      </c>
      <c r="L36" s="2"/>
      <c r="M36" s="2"/>
      <c r="N36" s="2"/>
      <c r="O36" s="2"/>
      <c r="P36" s="2"/>
      <c r="Q36" s="9" t="s">
        <v>9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9</v>
      </c>
      <c r="F37" s="2"/>
      <c r="G37" s="2"/>
      <c r="H37" s="2"/>
      <c r="I37" s="2"/>
      <c r="J37" s="2"/>
      <c r="K37" s="9" t="s">
        <v>9</v>
      </c>
      <c r="L37" s="2"/>
      <c r="M37" s="2"/>
      <c r="N37" s="2"/>
      <c r="O37" s="2"/>
      <c r="P37" s="2"/>
      <c r="Q37" s="9" t="s">
        <v>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8</v>
      </c>
      <c r="D38" s="8">
        <f>D30</f>
        <v>76.72895664</v>
      </c>
      <c r="E38" s="18">
        <f>RAND()* 100</f>
        <v>9.787757085</v>
      </c>
      <c r="F38" s="2"/>
      <c r="G38" s="2"/>
      <c r="H38" s="2"/>
      <c r="I38" s="7" t="s">
        <v>8</v>
      </c>
      <c r="J38" s="8">
        <f>J30</f>
        <v>76.72895664</v>
      </c>
      <c r="K38" s="18">
        <f>RAND()* 100</f>
        <v>95.28497839</v>
      </c>
      <c r="L38" s="2"/>
      <c r="M38" s="2"/>
      <c r="N38" s="2"/>
      <c r="O38" s="7" t="s">
        <v>8</v>
      </c>
      <c r="P38" s="8">
        <f>P30</f>
        <v>63.544503</v>
      </c>
      <c r="Q38" s="18">
        <f>RAND()* 100</f>
        <v>22.13859851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11</v>
      </c>
      <c r="D39" s="19">
        <f t="shared" ref="D39:E39" si="6">rand()</f>
        <v>0.1795515542</v>
      </c>
      <c r="E39" s="19">
        <f t="shared" si="6"/>
        <v>0.6172078558</v>
      </c>
      <c r="F39" s="19"/>
      <c r="G39" s="19"/>
      <c r="H39" s="19"/>
      <c r="I39" s="7" t="s">
        <v>11</v>
      </c>
      <c r="J39" s="19">
        <f t="shared" ref="J39:K39" si="7">rand()</f>
        <v>0.08483731071</v>
      </c>
      <c r="K39" s="19">
        <f t="shared" si="7"/>
        <v>0.8781673587</v>
      </c>
      <c r="L39" s="2"/>
      <c r="M39" s="2"/>
      <c r="N39" s="2"/>
      <c r="O39" s="7" t="s">
        <v>11</v>
      </c>
      <c r="P39" s="19">
        <f t="shared" ref="P39:Q39" si="8">rand()</f>
        <v>0.3541306562</v>
      </c>
      <c r="Q39" s="19">
        <f t="shared" si="8"/>
        <v>0.02791263922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12</v>
      </c>
      <c r="D41" s="2" t="str">
        <f>D28</f>
        <v>brown</v>
      </c>
      <c r="E41" s="27" t="s">
        <v>4</v>
      </c>
      <c r="F41" s="2"/>
      <c r="G41" s="2"/>
      <c r="H41" s="2"/>
      <c r="I41" s="7" t="s">
        <v>12</v>
      </c>
      <c r="J41" s="2" t="str">
        <f>J28</f>
        <v>brown</v>
      </c>
      <c r="K41" s="27" t="s">
        <v>13</v>
      </c>
      <c r="L41" s="2"/>
      <c r="M41" s="2"/>
      <c r="N41" s="2"/>
      <c r="O41" s="7" t="s">
        <v>12</v>
      </c>
      <c r="P41" s="2" t="str">
        <f>P28</f>
        <v>world</v>
      </c>
      <c r="Q41" s="27" t="s">
        <v>22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23</v>
      </c>
      <c r="K46" s="19">
        <f>rand()</f>
        <v>0.5539927049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24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29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30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31</v>
      </c>
      <c r="G75" s="29" t="s">
        <v>32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33</v>
      </c>
      <c r="D77" s="29" t="s">
        <v>34</v>
      </c>
      <c r="E77" s="2"/>
      <c r="F77" s="2"/>
      <c r="G77" s="2"/>
      <c r="H77" s="2"/>
      <c r="K77" s="2"/>
      <c r="L77" s="7" t="s">
        <v>35</v>
      </c>
      <c r="M77" s="30" t="s">
        <v>36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37</v>
      </c>
      <c r="D79" s="29" t="s">
        <v>38</v>
      </c>
      <c r="E79" s="2"/>
      <c r="F79" s="2"/>
      <c r="G79" s="2"/>
      <c r="H79" s="2"/>
      <c r="I79" s="2"/>
      <c r="J79" s="2"/>
      <c r="K79" s="2"/>
      <c r="L79" s="7" t="s">
        <v>39</v>
      </c>
      <c r="M79" s="29" t="s">
        <v>40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9</v>
      </c>
      <c r="H80" s="2"/>
      <c r="I80" s="2"/>
      <c r="J80" s="2"/>
      <c r="K80" s="2"/>
      <c r="L80" s="2"/>
      <c r="M80" s="2"/>
      <c r="N80" s="9" t="s">
        <v>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41</v>
      </c>
    </row>
    <row r="82">
      <c r="B82" s="1"/>
      <c r="C82" s="2"/>
      <c r="D82" s="2"/>
      <c r="E82" s="2"/>
      <c r="F82" s="2"/>
      <c r="G82" s="9" t="s">
        <v>9</v>
      </c>
      <c r="H82" s="2"/>
      <c r="I82" s="2"/>
      <c r="J82" s="2"/>
      <c r="K82" s="2"/>
      <c r="L82" s="2"/>
      <c r="M82" s="2"/>
      <c r="N82" s="9" t="s">
        <v>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9</v>
      </c>
      <c r="H86" s="2"/>
      <c r="I86" s="2"/>
      <c r="J86" s="2"/>
      <c r="K86" s="2"/>
      <c r="L86" s="2"/>
      <c r="M86" s="2"/>
      <c r="O86" s="2"/>
      <c r="P86" s="9" t="s">
        <v>9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9</v>
      </c>
      <c r="H87" s="2"/>
      <c r="I87" s="2"/>
      <c r="J87" s="2"/>
      <c r="K87" s="2"/>
      <c r="L87" s="2"/>
      <c r="M87" s="2"/>
      <c r="O87" s="2"/>
      <c r="P87" s="9" t="s">
        <v>9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42</v>
      </c>
      <c r="C88" s="8">
        <f t="shared" ref="C88:I88" si="9">rand()*100</f>
        <v>12.49078418</v>
      </c>
      <c r="D88" s="8">
        <f t="shared" si="9"/>
        <v>53.83236367</v>
      </c>
      <c r="E88" s="8">
        <f t="shared" si="9"/>
        <v>76.37550369</v>
      </c>
      <c r="F88" s="8">
        <f t="shared" si="9"/>
        <v>48.08988653</v>
      </c>
      <c r="G88" s="8">
        <f t="shared" si="9"/>
        <v>82.81554651</v>
      </c>
      <c r="H88" s="8">
        <f t="shared" si="9"/>
        <v>66.1466504</v>
      </c>
      <c r="I88" s="8">
        <f t="shared" si="9"/>
        <v>51.78244784</v>
      </c>
      <c r="J88" s="2"/>
      <c r="K88" s="2"/>
      <c r="L88" s="8">
        <f t="array" ref="L88:O89">C88:F89</f>
        <v>12.49078418</v>
      </c>
      <c r="M88" s="8">
        <v>53.832363667586094</v>
      </c>
      <c r="N88" s="8">
        <v>76.37550368996955</v>
      </c>
      <c r="O88" s="8">
        <v>48.08988653467849</v>
      </c>
      <c r="P88" s="8">
        <f t="shared" ref="P88:R88" si="10">rand()*100</f>
        <v>29.7838713</v>
      </c>
      <c r="Q88" s="8">
        <f t="shared" si="10"/>
        <v>68.06319319</v>
      </c>
      <c r="R88" s="8">
        <f t="shared" si="10"/>
        <v>26.84006071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43</v>
      </c>
      <c r="C89" s="31">
        <f t="shared" ref="C89:I89" si="11">rand()</f>
        <v>0.4275464331</v>
      </c>
      <c r="D89" s="31">
        <f t="shared" si="11"/>
        <v>0.715700031</v>
      </c>
      <c r="E89" s="31">
        <f t="shared" si="11"/>
        <v>0.2914763694</v>
      </c>
      <c r="F89" s="31">
        <f t="shared" si="11"/>
        <v>0.3436089772</v>
      </c>
      <c r="G89" s="31">
        <f t="shared" si="11"/>
        <v>0.6139874495</v>
      </c>
      <c r="H89" s="31">
        <f t="shared" si="11"/>
        <v>0.2139907358</v>
      </c>
      <c r="I89" s="31">
        <f t="shared" si="11"/>
        <v>0.1099573116</v>
      </c>
      <c r="J89" s="2"/>
      <c r="K89" s="2"/>
      <c r="L89" s="31">
        <v>0.4275464331491342</v>
      </c>
      <c r="M89" s="31">
        <v>0.7157000309614939</v>
      </c>
      <c r="N89" s="31">
        <v>0.29147636938518584</v>
      </c>
      <c r="O89" s="31">
        <v>0.3436089772132388</v>
      </c>
      <c r="P89" s="31">
        <f t="shared" ref="P89:R89" si="12">rand()</f>
        <v>0.1125068019</v>
      </c>
      <c r="Q89" s="31">
        <f t="shared" si="12"/>
        <v>0.2460718321</v>
      </c>
      <c r="R89" s="31">
        <f t="shared" si="12"/>
        <v>0.8905829337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44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45</v>
      </c>
      <c r="C101" s="33">
        <f t="array" ref="C101:I101">C89:I89</f>
        <v>0.4275464331</v>
      </c>
      <c r="D101" s="33">
        <v>0.7157000309614939</v>
      </c>
      <c r="E101" s="33">
        <v>0.29147636938518584</v>
      </c>
      <c r="F101" s="33">
        <v>0.3436089772132388</v>
      </c>
      <c r="G101" s="33">
        <v>0.6139874495413672</v>
      </c>
      <c r="H101" s="33">
        <v>0.21399073581598005</v>
      </c>
      <c r="I101" s="33">
        <v>0.10995731163711231</v>
      </c>
      <c r="J101" s="34"/>
      <c r="K101" s="32" t="s">
        <v>46</v>
      </c>
      <c r="L101" s="33">
        <f t="array" ref="L101:R101">L89:R89</f>
        <v>0.4275464331</v>
      </c>
      <c r="M101" s="33">
        <v>0.7157000309614939</v>
      </c>
      <c r="N101" s="33">
        <v>0.29147636938518584</v>
      </c>
      <c r="O101" s="33">
        <v>0.3436089772132388</v>
      </c>
      <c r="P101" s="33">
        <v>0.1125068018572557</v>
      </c>
      <c r="Q101" s="33">
        <v>0.24607183213827077</v>
      </c>
      <c r="R101" s="33">
        <v>0.8905829336822275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11</v>
      </c>
      <c r="C102" s="7"/>
      <c r="D102" s="19"/>
      <c r="E102" s="2"/>
      <c r="F102" s="2"/>
      <c r="G102" s="2"/>
      <c r="H102" s="2"/>
      <c r="I102" s="2"/>
      <c r="J102" s="2"/>
      <c r="K102" s="7" t="s">
        <v>11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47</v>
      </c>
      <c r="D104" s="19">
        <f>AVERAGE(LN(C101:I101))</f>
        <v>-0.334494151</v>
      </c>
      <c r="E104" s="2"/>
      <c r="F104" s="2"/>
      <c r="G104" s="2"/>
      <c r="H104" s="2"/>
      <c r="I104" s="2"/>
      <c r="J104" s="2"/>
      <c r="K104" s="7" t="s">
        <v>48</v>
      </c>
      <c r="L104" s="19">
        <f>AVERAGE(LN(L101:R101))</f>
        <v>-0.849692381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49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50</v>
      </c>
      <c r="E115" s="35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51</v>
      </c>
      <c r="E116" s="35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52</v>
      </c>
      <c r="E118" s="19">
        <f>E115*(D104-L104)-E116</f>
        <v>0.5303964599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53</v>
      </c>
      <c r="E120" s="19">
        <f>1/(1+EXP(-E118))</f>
        <v>0.6295755752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54</v>
      </c>
      <c r="E122" s="37">
        <f>-LN(E120)</f>
        <v>0.4627093768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10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55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1</v>
      </c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2</v>
      </c>
      <c r="I5" s="6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8</v>
      </c>
      <c r="C7" s="8">
        <f t="shared" ref="C7:I7" si="1">RAND()* 100</f>
        <v>48.67685889</v>
      </c>
      <c r="D7" s="8">
        <f t="shared" si="1"/>
        <v>83.16519377</v>
      </c>
      <c r="E7" s="8">
        <f t="shared" si="1"/>
        <v>10.3295684</v>
      </c>
      <c r="F7" s="8">
        <f t="shared" si="1"/>
        <v>91.18330686</v>
      </c>
      <c r="G7" s="8">
        <f t="shared" si="1"/>
        <v>58.59876354</v>
      </c>
      <c r="H7" s="8">
        <f t="shared" si="1"/>
        <v>0.4733677787</v>
      </c>
      <c r="I7" s="8">
        <f t="shared" si="1"/>
        <v>32.53397599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9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10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8</v>
      </c>
      <c r="C15" s="2"/>
      <c r="D15" s="8">
        <f t="array" ref="D15:I15">D7:I7</f>
        <v>83.16519377</v>
      </c>
      <c r="E15" s="8">
        <v>10.329568402861977</v>
      </c>
      <c r="F15" s="8">
        <v>91.18330685583382</v>
      </c>
      <c r="G15" s="8">
        <v>58.59876354016693</v>
      </c>
      <c r="H15" s="8">
        <v>0.47336777874805724</v>
      </c>
      <c r="I15" s="8">
        <v>32.533975987963046</v>
      </c>
      <c r="J15" s="18">
        <f>RAND()* 100</f>
        <v>52.51604059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11</v>
      </c>
      <c r="C16" s="2"/>
      <c r="D16" s="19">
        <f t="shared" ref="D16:J16" si="2">rand()</f>
        <v>0.2095014172</v>
      </c>
      <c r="E16" s="19">
        <f t="shared" si="2"/>
        <v>0.7467729705</v>
      </c>
      <c r="F16" s="19">
        <f t="shared" si="2"/>
        <v>0.8466705314</v>
      </c>
      <c r="G16" s="19">
        <f t="shared" si="2"/>
        <v>0.1556384985</v>
      </c>
      <c r="H16" s="19">
        <f t="shared" si="2"/>
        <v>0.484806556</v>
      </c>
      <c r="I16" s="19">
        <f t="shared" si="2"/>
        <v>0.8094051676</v>
      </c>
      <c r="J16" s="19">
        <f t="shared" si="2"/>
        <v>0.3594019686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12</v>
      </c>
      <c r="C18" s="2"/>
      <c r="D18" s="2" t="str">
        <f t="array" ref="D18:I18">D5:I5</f>
        <v>brown</v>
      </c>
      <c r="E18" s="2" t="s">
        <v>4</v>
      </c>
      <c r="F18" s="2" t="s">
        <v>5</v>
      </c>
      <c r="G18" s="2" t="s">
        <v>6</v>
      </c>
      <c r="H18" s="2" t="s">
        <v>2</v>
      </c>
      <c r="I18" s="2" t="s">
        <v>7</v>
      </c>
      <c r="J18" s="20" t="s">
        <v>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14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15</v>
      </c>
      <c r="I21" s="21">
        <f>J16</f>
        <v>0.3594019686</v>
      </c>
      <c r="J21" s="2"/>
      <c r="K21" s="2"/>
      <c r="L21" s="2"/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16</v>
      </c>
      <c r="I22" s="19">
        <f>RAND()</f>
        <v>0.1842896585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17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18</v>
      </c>
      <c r="E26" s="23"/>
      <c r="F26" s="23"/>
      <c r="G26" s="24" t="s">
        <v>19</v>
      </c>
      <c r="K26" s="23"/>
      <c r="L26" s="23"/>
      <c r="M26" s="24" t="s">
        <v>19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1</v>
      </c>
      <c r="C28" s="5" t="s">
        <v>2</v>
      </c>
      <c r="D28" s="6" t="s">
        <v>3</v>
      </c>
      <c r="E28" s="6"/>
      <c r="F28" s="6"/>
      <c r="G28" s="6"/>
      <c r="H28" s="4" t="s">
        <v>1</v>
      </c>
      <c r="I28" s="5" t="s">
        <v>2</v>
      </c>
      <c r="J28" s="6" t="s">
        <v>3</v>
      </c>
      <c r="K28" s="2"/>
      <c r="L28" s="2"/>
      <c r="M28" s="2"/>
      <c r="N28" s="4" t="s">
        <v>1</v>
      </c>
      <c r="O28" s="25" t="s">
        <v>20</v>
      </c>
      <c r="P28" s="25" t="s">
        <v>21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8</v>
      </c>
      <c r="C30" s="8">
        <f t="shared" ref="C30:D30" si="3">RAND()* 100</f>
        <v>33.57205163</v>
      </c>
      <c r="D30" s="8">
        <f t="shared" si="3"/>
        <v>1.338762673</v>
      </c>
      <c r="E30" s="8"/>
      <c r="F30" s="8"/>
      <c r="G30" s="8"/>
      <c r="H30" s="7" t="s">
        <v>8</v>
      </c>
      <c r="I30" s="8">
        <f t="shared" ref="I30:J30" si="4">C30</f>
        <v>33.57205163</v>
      </c>
      <c r="J30" s="8">
        <f t="shared" si="4"/>
        <v>1.338762673</v>
      </c>
      <c r="K30" s="2"/>
      <c r="L30" s="2"/>
      <c r="M30" s="2"/>
      <c r="N30" s="7" t="s">
        <v>8</v>
      </c>
      <c r="O30" s="8">
        <f t="shared" ref="O30:P30" si="5">RAND()* 100</f>
        <v>69.34044891</v>
      </c>
      <c r="P30" s="8">
        <f t="shared" si="5"/>
        <v>89.69882842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9</v>
      </c>
      <c r="F31" s="2"/>
      <c r="G31" s="2"/>
      <c r="H31" s="1"/>
      <c r="I31" s="2"/>
      <c r="J31" s="9" t="s">
        <v>9</v>
      </c>
      <c r="K31" s="2"/>
      <c r="L31" s="2"/>
      <c r="M31" s="2"/>
      <c r="N31" s="1"/>
      <c r="O31" s="2"/>
      <c r="P31" s="9" t="s">
        <v>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9</v>
      </c>
      <c r="F32" s="2"/>
      <c r="G32" s="2"/>
      <c r="H32" s="1"/>
      <c r="I32" s="2"/>
      <c r="J32" s="9" t="s">
        <v>9</v>
      </c>
      <c r="K32" s="2"/>
      <c r="L32" s="2"/>
      <c r="M32" s="2"/>
      <c r="N32" s="1"/>
      <c r="O32" s="2"/>
      <c r="P32" s="9" t="s">
        <v>9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9</v>
      </c>
      <c r="F36" s="2"/>
      <c r="G36" s="2"/>
      <c r="H36" s="2"/>
      <c r="I36" s="2"/>
      <c r="J36" s="2"/>
      <c r="K36" s="9" t="s">
        <v>9</v>
      </c>
      <c r="L36" s="2"/>
      <c r="M36" s="2"/>
      <c r="N36" s="2"/>
      <c r="O36" s="2"/>
      <c r="P36" s="2"/>
      <c r="Q36" s="9" t="s">
        <v>9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9</v>
      </c>
      <c r="F37" s="2"/>
      <c r="G37" s="2"/>
      <c r="H37" s="2"/>
      <c r="I37" s="2"/>
      <c r="J37" s="2"/>
      <c r="K37" s="9" t="s">
        <v>9</v>
      </c>
      <c r="L37" s="2"/>
      <c r="M37" s="2"/>
      <c r="N37" s="2"/>
      <c r="O37" s="2"/>
      <c r="P37" s="2"/>
      <c r="Q37" s="9" t="s">
        <v>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8</v>
      </c>
      <c r="D38" s="8">
        <f>D30</f>
        <v>1.338762673</v>
      </c>
      <c r="E38" s="18">
        <f>RAND()* 100</f>
        <v>54.18700887</v>
      </c>
      <c r="F38" s="2"/>
      <c r="G38" s="2"/>
      <c r="H38" s="2"/>
      <c r="I38" s="7" t="s">
        <v>8</v>
      </c>
      <c r="J38" s="8">
        <f>J30</f>
        <v>1.338762673</v>
      </c>
      <c r="K38" s="18">
        <f>RAND()* 100</f>
        <v>71.39249564</v>
      </c>
      <c r="L38" s="2"/>
      <c r="M38" s="2"/>
      <c r="N38" s="2"/>
      <c r="O38" s="7" t="s">
        <v>8</v>
      </c>
      <c r="P38" s="8">
        <f>P30</f>
        <v>89.69882842</v>
      </c>
      <c r="Q38" s="18">
        <f>RAND()* 100</f>
        <v>85.24921746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11</v>
      </c>
      <c r="D39" s="19">
        <f t="shared" ref="D39:E39" si="6">rand()</f>
        <v>0.4749638312</v>
      </c>
      <c r="E39" s="19">
        <f t="shared" si="6"/>
        <v>0.4175396544</v>
      </c>
      <c r="F39" s="19"/>
      <c r="G39" s="19"/>
      <c r="H39" s="19"/>
      <c r="I39" s="7" t="s">
        <v>11</v>
      </c>
      <c r="J39" s="19">
        <f t="shared" ref="J39:K39" si="7">rand()</f>
        <v>0.856084923</v>
      </c>
      <c r="K39" s="19">
        <f t="shared" si="7"/>
        <v>0.3447690675</v>
      </c>
      <c r="L39" s="2"/>
      <c r="M39" s="2"/>
      <c r="N39" s="2"/>
      <c r="O39" s="7" t="s">
        <v>11</v>
      </c>
      <c r="P39" s="19">
        <f t="shared" ref="P39:Q39" si="8">rand()</f>
        <v>0.3889228177</v>
      </c>
      <c r="Q39" s="19">
        <f t="shared" si="8"/>
        <v>0.7293642333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12</v>
      </c>
      <c r="D41" s="2" t="str">
        <f>D28</f>
        <v>brown</v>
      </c>
      <c r="E41" s="27" t="s">
        <v>4</v>
      </c>
      <c r="F41" s="2"/>
      <c r="G41" s="2"/>
      <c r="H41" s="2"/>
      <c r="I41" s="7" t="s">
        <v>12</v>
      </c>
      <c r="J41" s="2" t="str">
        <f>J28</f>
        <v>brown</v>
      </c>
      <c r="K41" s="27" t="s">
        <v>13</v>
      </c>
      <c r="L41" s="2"/>
      <c r="M41" s="2"/>
      <c r="N41" s="2"/>
      <c r="O41" s="7" t="s">
        <v>12</v>
      </c>
      <c r="P41" s="2" t="str">
        <f>P28</f>
        <v>world</v>
      </c>
      <c r="Q41" s="27" t="s">
        <v>22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23</v>
      </c>
      <c r="K46" s="19">
        <f>rand()</f>
        <v>0.3123641621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24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29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30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31</v>
      </c>
      <c r="G75" s="29" t="s">
        <v>32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33</v>
      </c>
      <c r="D77" s="29" t="s">
        <v>34</v>
      </c>
      <c r="E77" s="2"/>
      <c r="F77" s="2"/>
      <c r="G77" s="2"/>
      <c r="H77" s="2"/>
      <c r="K77" s="2"/>
      <c r="L77" s="7" t="s">
        <v>35</v>
      </c>
      <c r="M77" s="30" t="s">
        <v>36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37</v>
      </c>
      <c r="D79" s="29" t="s">
        <v>38</v>
      </c>
      <c r="E79" s="2"/>
      <c r="F79" s="2"/>
      <c r="G79" s="2"/>
      <c r="H79" s="2"/>
      <c r="I79" s="2"/>
      <c r="J79" s="2"/>
      <c r="K79" s="2"/>
      <c r="L79" s="7" t="s">
        <v>39</v>
      </c>
      <c r="M79" s="29" t="s">
        <v>40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9</v>
      </c>
      <c r="H80" s="2"/>
      <c r="I80" s="2"/>
      <c r="J80" s="2"/>
      <c r="K80" s="2"/>
      <c r="L80" s="2"/>
      <c r="M80" s="2"/>
      <c r="N80" s="9" t="s">
        <v>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41</v>
      </c>
    </row>
    <row r="82">
      <c r="B82" s="1"/>
      <c r="C82" s="2"/>
      <c r="D82" s="2"/>
      <c r="E82" s="2"/>
      <c r="F82" s="2"/>
      <c r="G82" s="9" t="s">
        <v>9</v>
      </c>
      <c r="H82" s="2"/>
      <c r="I82" s="2"/>
      <c r="J82" s="2"/>
      <c r="K82" s="2"/>
      <c r="L82" s="2"/>
      <c r="M82" s="2"/>
      <c r="N82" s="9" t="s">
        <v>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9</v>
      </c>
      <c r="H86" s="2"/>
      <c r="I86" s="2"/>
      <c r="J86" s="2"/>
      <c r="K86" s="2"/>
      <c r="L86" s="2"/>
      <c r="M86" s="2"/>
      <c r="O86" s="2"/>
      <c r="P86" s="9" t="s">
        <v>9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9</v>
      </c>
      <c r="H87" s="2"/>
      <c r="I87" s="2"/>
      <c r="J87" s="2"/>
      <c r="K87" s="2"/>
      <c r="L87" s="2"/>
      <c r="M87" s="2"/>
      <c r="O87" s="2"/>
      <c r="P87" s="9" t="s">
        <v>9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42</v>
      </c>
      <c r="C88" s="8">
        <f t="shared" ref="C88:I88" si="9">rand()*100</f>
        <v>35.62850486</v>
      </c>
      <c r="D88" s="8">
        <f t="shared" si="9"/>
        <v>49.9094189</v>
      </c>
      <c r="E88" s="8">
        <f t="shared" si="9"/>
        <v>17.19399232</v>
      </c>
      <c r="F88" s="8">
        <f t="shared" si="9"/>
        <v>85.90890632</v>
      </c>
      <c r="G88" s="8">
        <f t="shared" si="9"/>
        <v>25.78624627</v>
      </c>
      <c r="H88" s="8">
        <f t="shared" si="9"/>
        <v>70.56282124</v>
      </c>
      <c r="I88" s="8">
        <f t="shared" si="9"/>
        <v>82.12107582</v>
      </c>
      <c r="J88" s="2"/>
      <c r="K88" s="2"/>
      <c r="L88" s="8">
        <f t="array" ref="L88:O89">C88:F89</f>
        <v>35.62850486</v>
      </c>
      <c r="M88" s="8">
        <v>49.90941890115968</v>
      </c>
      <c r="N88" s="8">
        <v>17.193992317579664</v>
      </c>
      <c r="O88" s="8">
        <v>85.90890632471798</v>
      </c>
      <c r="P88" s="8">
        <f t="shared" ref="P88:R88" si="10">rand()*100</f>
        <v>94.08540527</v>
      </c>
      <c r="Q88" s="8">
        <f t="shared" si="10"/>
        <v>11.55724902</v>
      </c>
      <c r="R88" s="8">
        <f t="shared" si="10"/>
        <v>3.534453062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11</v>
      </c>
      <c r="C89" s="31">
        <f t="shared" ref="C89:I89" si="11">rand()</f>
        <v>0.3161114373</v>
      </c>
      <c r="D89" s="31">
        <f t="shared" si="11"/>
        <v>0.266029014</v>
      </c>
      <c r="E89" s="31">
        <f t="shared" si="11"/>
        <v>0.06230573073</v>
      </c>
      <c r="F89" s="31">
        <f t="shared" si="11"/>
        <v>0.006191753678</v>
      </c>
      <c r="G89" s="31">
        <f t="shared" si="11"/>
        <v>0.2629409962</v>
      </c>
      <c r="H89" s="31">
        <f t="shared" si="11"/>
        <v>0.7813183846</v>
      </c>
      <c r="I89" s="31">
        <f t="shared" si="11"/>
        <v>0.8498148633</v>
      </c>
      <c r="J89" s="2"/>
      <c r="K89" s="2"/>
      <c r="L89" s="31">
        <v>0.31611143728767654</v>
      </c>
      <c r="M89" s="31">
        <v>0.266029014045135</v>
      </c>
      <c r="N89" s="31">
        <v>0.06230573073138834</v>
      </c>
      <c r="O89" s="31">
        <v>0.006191753678387646</v>
      </c>
      <c r="P89" s="31">
        <f t="shared" ref="P89:R89" si="12">rand()</f>
        <v>0.8585257481</v>
      </c>
      <c r="Q89" s="31">
        <f t="shared" si="12"/>
        <v>0.3780862436</v>
      </c>
      <c r="R89" s="31">
        <f t="shared" si="12"/>
        <v>0.9930057666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44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45</v>
      </c>
      <c r="C101" s="33">
        <f t="array" ref="C101:I101">C89:I89</f>
        <v>0.3161114373</v>
      </c>
      <c r="D101" s="33">
        <v>0.266029014045135</v>
      </c>
      <c r="E101" s="33">
        <v>0.06230573073138834</v>
      </c>
      <c r="F101" s="33">
        <v>0.006191753678387646</v>
      </c>
      <c r="G101" s="33">
        <v>0.2629409962238317</v>
      </c>
      <c r="H101" s="33">
        <v>0.7813183846320019</v>
      </c>
      <c r="I101" s="33">
        <v>0.8498148633315828</v>
      </c>
      <c r="J101" s="34"/>
      <c r="K101" s="32" t="s">
        <v>46</v>
      </c>
      <c r="L101" s="33">
        <f t="array" ref="L101:R101">L89:R89</f>
        <v>0.3161114373</v>
      </c>
      <c r="M101" s="33">
        <v>0.266029014045135</v>
      </c>
      <c r="N101" s="33">
        <v>0.06230573073138834</v>
      </c>
      <c r="O101" s="33">
        <v>0.006191753678387646</v>
      </c>
      <c r="P101" s="33">
        <v>0.8585257481203177</v>
      </c>
      <c r="Q101" s="33">
        <v>0.3780862436289908</v>
      </c>
      <c r="R101" s="33">
        <v>0.9930057665939528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11</v>
      </c>
      <c r="C102" s="7"/>
      <c r="D102" s="19"/>
      <c r="E102" s="2"/>
      <c r="F102" s="2"/>
      <c r="G102" s="2"/>
      <c r="H102" s="2"/>
      <c r="I102" s="2"/>
      <c r="J102" s="2"/>
      <c r="K102" s="7" t="s">
        <v>11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47</v>
      </c>
      <c r="D104" s="38" t="s">
        <v>56</v>
      </c>
      <c r="E104" s="2"/>
      <c r="F104" s="2"/>
      <c r="G104" s="2"/>
      <c r="H104" s="2"/>
      <c r="I104" s="2"/>
      <c r="J104" s="2"/>
      <c r="K104" s="7" t="s">
        <v>48</v>
      </c>
      <c r="L104" s="38" t="s">
        <v>57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49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50</v>
      </c>
      <c r="E115" s="35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51</v>
      </c>
      <c r="E116" s="35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52</v>
      </c>
      <c r="E118" s="39" t="s">
        <v>58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53</v>
      </c>
      <c r="E120" s="19" t="str">
        <f>1/(1+EXP(-E118))</f>
        <v>#VALUE!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54</v>
      </c>
      <c r="E122" s="40" t="s">
        <v>59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10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