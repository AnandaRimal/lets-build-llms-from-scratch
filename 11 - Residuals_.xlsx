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 Answers" sheetId="1" r:id="rId5"/>
    <sheet state="visible" name="w Answers" sheetId="2" r:id="rId6"/>
  </sheets>
  <definedNames/>
  <calcPr/>
</workbook>
</file>

<file path=xl/sharedStrings.xml><?xml version="1.0" encoding="utf-8"?>
<sst xmlns="http://schemas.openxmlformats.org/spreadsheetml/2006/main" count="140" uniqueCount="24">
  <si>
    <t>Matrix addition: math</t>
  </si>
  <si>
    <t>Matrix 1</t>
  </si>
  <si>
    <t>⬇</t>
  </si>
  <si>
    <t>M1+M2</t>
  </si>
  <si>
    <t>Matrix 2</t>
  </si>
  <si>
    <t>⬅</t>
  </si>
  <si>
    <t xml:space="preserve">Matrix addition: Matrix addition </t>
  </si>
  <si>
    <t xml:space="preserve">Residual: Addition </t>
  </si>
  <si>
    <t>Input</t>
  </si>
  <si>
    <t>Matrix1</t>
  </si>
  <si>
    <t>Input @ M1</t>
  </si>
  <si>
    <t>(Learned)</t>
  </si>
  <si>
    <t>➡</t>
  </si>
  <si>
    <t>Residual</t>
  </si>
  <si>
    <t>Residual: Addition, 2 MatMul+ReLU</t>
  </si>
  <si>
    <t>Matrix2</t>
  </si>
  <si>
    <t xml:space="preserve">Input @ </t>
  </si>
  <si>
    <t>M1 @ M2</t>
  </si>
  <si>
    <t>ReLU</t>
  </si>
  <si>
    <t xml:space="preserve">Concatenation Residuals </t>
  </si>
  <si>
    <t xml:space="preserve">Scaled/ReZero Residuals </t>
  </si>
  <si>
    <t>Multiplier</t>
  </si>
  <si>
    <t>(Input @ M1)</t>
  </si>
  <si>
    <t>* Multiplier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</si>
</sst>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#,##0.0"/>
  </numFmts>
  <fonts count="6">
    <font>
      <sz val="10.0"/>
      <color rgb="FF000000"/>
      <name val="Arial"/>
      <scheme val="minor"/>
    </font>
    <font>
      <color rgb="FFB7B7B7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color theme="1"/>
      <name val="Arial"/>
    </font>
    <font>
      <color rgb="FFB7B7B7"/>
      <name val="Arial"/>
    </font>
  </fonts>
  <fills count="7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9E6"/>
        <bgColor rgb="FFFFF9E6"/>
      </patternFill>
    </fill>
    <fill>
      <patternFill patternType="solid">
        <fgColor rgb="FFFFF6DD"/>
        <bgColor rgb="FFFFF6DD"/>
      </patternFill>
    </fill>
    <fill>
      <patternFill patternType="solid">
        <fgColor rgb="FFFFF4D6"/>
        <bgColor rgb="FFFFF4D6"/>
      </patternFill>
    </fill>
    <fill>
      <patternFill patternType="solid">
        <fgColor rgb="FFFFF8E4"/>
        <bgColor rgb="FFFFF8E4"/>
      </patternFill>
    </fill>
    <fill>
      <patternFill patternType="solid">
        <fgColor rgb="FFFFF9E9"/>
        <bgColor rgb="FFFFF9E9"/>
      </patternFill>
    </fill>
    <fill>
      <patternFill patternType="solid">
        <fgColor rgb="FFFFF2CC"/>
        <bgColor rgb="FFFFF2CC"/>
      </patternFill>
    </fill>
    <fill>
      <patternFill patternType="solid">
        <fgColor rgb="FFFFFAEC"/>
        <bgColor rgb="FFFFFAEC"/>
      </patternFill>
    </fill>
    <fill>
      <patternFill patternType="solid">
        <fgColor rgb="FFFFF5D7"/>
        <bgColor rgb="FFFFF5D7"/>
      </patternFill>
    </fill>
    <fill>
      <patternFill patternType="solid">
        <fgColor rgb="FFFFF9E8"/>
        <bgColor rgb="FFFFF9E8"/>
      </patternFill>
    </fill>
    <fill>
      <patternFill patternType="solid">
        <fgColor rgb="FFFFFBF0"/>
        <bgColor rgb="FFFFFBF0"/>
      </patternFill>
    </fill>
    <fill>
      <patternFill patternType="solid">
        <fgColor rgb="FFFFF8E3"/>
        <bgColor rgb="FFFFF8E3"/>
      </patternFill>
    </fill>
    <fill>
      <patternFill patternType="solid">
        <fgColor rgb="FFFFFBED"/>
        <bgColor rgb="FFFFFBED"/>
      </patternFill>
    </fill>
    <fill>
      <patternFill patternType="solid">
        <fgColor rgb="FFFFFBF1"/>
        <bgColor rgb="FFFFFBF1"/>
      </patternFill>
    </fill>
    <fill>
      <patternFill patternType="solid">
        <fgColor rgb="FFFFFDF6"/>
        <bgColor rgb="FFFFFDF6"/>
      </patternFill>
    </fill>
    <fill>
      <patternFill patternType="solid">
        <fgColor rgb="FFFFF7E0"/>
        <bgColor rgb="FFFFF7E0"/>
      </patternFill>
    </fill>
    <fill>
      <patternFill patternType="solid">
        <fgColor rgb="FFFFF4D4"/>
        <bgColor rgb="FFFFF4D4"/>
      </patternFill>
    </fill>
    <fill>
      <patternFill patternType="solid">
        <fgColor rgb="FFFFF7DF"/>
        <bgColor rgb="FFFFF7DF"/>
      </patternFill>
    </fill>
    <fill>
      <patternFill patternType="solid">
        <fgColor rgb="FFFFFAED"/>
        <bgColor rgb="FFFFFAED"/>
      </patternFill>
    </fill>
    <fill>
      <patternFill patternType="solid">
        <fgColor rgb="FFFFF2CD"/>
        <bgColor rgb="FFFFF2CD"/>
      </patternFill>
    </fill>
    <fill>
      <patternFill patternType="solid">
        <fgColor rgb="FFFFF1CB"/>
        <bgColor rgb="FFFFF1CB"/>
      </patternFill>
    </fill>
    <fill>
      <patternFill patternType="solid">
        <fgColor rgb="FFFFF8E2"/>
        <bgColor rgb="FFFFF8E2"/>
      </patternFill>
    </fill>
    <fill>
      <patternFill patternType="solid">
        <fgColor rgb="FFFFF0C5"/>
        <bgColor rgb="FFFFF0C5"/>
      </patternFill>
    </fill>
    <fill>
      <patternFill patternType="solid">
        <fgColor rgb="FFFFF6DC"/>
        <bgColor rgb="FFFFF6DC"/>
      </patternFill>
    </fill>
    <fill>
      <patternFill patternType="solid">
        <fgColor rgb="FFFFF2CE"/>
        <bgColor rgb="FFFFF2CE"/>
      </patternFill>
    </fill>
    <fill>
      <patternFill patternType="solid">
        <fgColor rgb="FFFFEBB4"/>
        <bgColor rgb="FFFFEBB4"/>
      </patternFill>
    </fill>
    <fill>
      <patternFill patternType="solid">
        <fgColor rgb="FFFFE59D"/>
        <bgColor rgb="FFFFE59D"/>
      </patternFill>
    </fill>
    <fill>
      <patternFill patternType="solid">
        <fgColor rgb="FFFFE49B"/>
        <bgColor rgb="FFFFE49B"/>
      </patternFill>
    </fill>
    <fill>
      <patternFill patternType="solid">
        <fgColor rgb="FFFFF1C9"/>
        <bgColor rgb="FFFFF1C9"/>
      </patternFill>
    </fill>
    <fill>
      <patternFill patternType="solid">
        <fgColor rgb="FFFFE8A9"/>
        <bgColor rgb="FFFFE8A9"/>
      </patternFill>
    </fill>
    <fill>
      <patternFill patternType="solid">
        <fgColor rgb="FFFFEDB9"/>
        <bgColor rgb="FFFFEDB9"/>
      </patternFill>
    </fill>
    <fill>
      <patternFill patternType="solid">
        <fgColor rgb="FFFFEDBC"/>
        <bgColor rgb="FFFFEDBC"/>
      </patternFill>
    </fill>
    <fill>
      <patternFill patternType="solid">
        <fgColor rgb="FFFFE9AD"/>
        <bgColor rgb="FFFFE9AD"/>
      </patternFill>
    </fill>
    <fill>
      <patternFill patternType="solid">
        <fgColor rgb="FFFFECB9"/>
        <bgColor rgb="FFFFECB9"/>
      </patternFill>
    </fill>
    <fill>
      <patternFill patternType="solid">
        <fgColor rgb="FFFFEEBE"/>
        <bgColor rgb="FFFFEEBE"/>
      </patternFill>
    </fill>
    <fill>
      <patternFill patternType="solid">
        <fgColor rgb="FFFFE395"/>
        <bgColor rgb="FFFFE395"/>
      </patternFill>
    </fill>
    <fill>
      <patternFill patternType="solid">
        <fgColor rgb="FFFFE8A7"/>
        <bgColor rgb="FFFFE8A7"/>
      </patternFill>
    </fill>
    <fill>
      <patternFill patternType="solid">
        <fgColor rgb="FFFFE8A8"/>
        <bgColor rgb="FFFFE8A8"/>
      </patternFill>
    </fill>
    <fill>
      <patternFill patternType="solid">
        <fgColor rgb="FFFFF3D0"/>
        <bgColor rgb="FFFFF3D0"/>
      </patternFill>
    </fill>
    <fill>
      <patternFill patternType="solid">
        <fgColor rgb="FFFFEBB5"/>
        <bgColor rgb="FFFFEBB5"/>
      </patternFill>
    </fill>
    <fill>
      <patternFill patternType="solid">
        <fgColor rgb="FFFFF7E2"/>
        <bgColor rgb="FFFFF7E2"/>
      </patternFill>
    </fill>
    <fill>
      <patternFill patternType="solid">
        <fgColor rgb="FFFFE49A"/>
        <bgColor rgb="FFFFE49A"/>
      </patternFill>
    </fill>
    <fill>
      <patternFill patternType="solid">
        <fgColor rgb="FFFFEDBB"/>
        <bgColor rgb="FFFFEDBB"/>
      </patternFill>
    </fill>
    <fill>
      <patternFill patternType="solid">
        <fgColor rgb="FFFFE8A6"/>
        <bgColor rgb="FFFFE8A6"/>
      </patternFill>
    </fill>
    <fill>
      <patternFill patternType="solid">
        <fgColor rgb="FFFFE7A3"/>
        <bgColor rgb="FFFFE7A3"/>
      </patternFill>
    </fill>
    <fill>
      <patternFill patternType="solid">
        <fgColor rgb="FFFFECB8"/>
        <bgColor rgb="FFFFECB8"/>
      </patternFill>
    </fill>
    <fill>
      <patternFill patternType="solid">
        <fgColor rgb="FFFFEFC3"/>
        <bgColor rgb="FFFFEFC3"/>
      </patternFill>
    </fill>
    <fill>
      <patternFill patternType="solid">
        <fgColor rgb="FFFFECB6"/>
        <bgColor rgb="FFFFECB6"/>
      </patternFill>
    </fill>
    <fill>
      <patternFill patternType="solid">
        <fgColor rgb="FFFFEBB2"/>
        <bgColor rgb="FFFFEBB2"/>
      </patternFill>
    </fill>
    <fill>
      <patternFill patternType="solid">
        <fgColor rgb="FFFFECB5"/>
        <bgColor rgb="FFFFECB5"/>
      </patternFill>
    </fill>
    <fill>
      <patternFill patternType="solid">
        <fgColor rgb="FFFFE59E"/>
        <bgColor rgb="FFFFE59E"/>
      </patternFill>
    </fill>
    <fill>
      <patternFill patternType="solid">
        <fgColor rgb="FFFFEDBA"/>
        <bgColor rgb="FFFFEDBA"/>
      </patternFill>
    </fill>
    <fill>
      <patternFill patternType="solid">
        <fgColor rgb="FFFFEFC2"/>
        <bgColor rgb="FFFFEFC2"/>
      </patternFill>
    </fill>
    <fill>
      <patternFill patternType="solid">
        <fgColor rgb="FFFFE7A4"/>
        <bgColor rgb="FFFFE7A4"/>
      </patternFill>
    </fill>
    <fill>
      <patternFill patternType="solid">
        <fgColor rgb="FFFFE6A2"/>
        <bgColor rgb="FFFFE6A2"/>
      </patternFill>
    </fill>
    <fill>
      <patternFill patternType="solid">
        <fgColor rgb="FFFFF8E5"/>
        <bgColor rgb="FFFFF8E5"/>
      </patternFill>
    </fill>
    <fill>
      <patternFill patternType="solid">
        <fgColor rgb="FFFFF0C7"/>
        <bgColor rgb="FFFFF0C7"/>
      </patternFill>
    </fill>
    <fill>
      <patternFill patternType="solid">
        <fgColor rgb="FFFFD86C"/>
        <bgColor rgb="FFFFD86C"/>
      </patternFill>
    </fill>
    <fill>
      <patternFill patternType="solid">
        <fgColor rgb="FFFFE394"/>
        <bgColor rgb="FFFFE394"/>
      </patternFill>
    </fill>
    <fill>
      <patternFill patternType="solid">
        <fgColor rgb="FFFFDB78"/>
        <bgColor rgb="FFFFDB78"/>
      </patternFill>
    </fill>
    <fill>
      <patternFill patternType="solid">
        <fgColor rgb="FFFFE498"/>
        <bgColor rgb="FFFFE498"/>
      </patternFill>
    </fill>
    <fill>
      <patternFill patternType="solid">
        <fgColor rgb="FFFFECB7"/>
        <bgColor rgb="FFFFECB7"/>
      </patternFill>
    </fill>
    <fill>
      <patternFill patternType="solid">
        <fgColor rgb="FFFFEAAF"/>
        <bgColor rgb="FFFFEAAF"/>
      </patternFill>
    </fill>
    <fill>
      <patternFill patternType="solid">
        <fgColor rgb="FFFFE089"/>
        <bgColor rgb="FFFFE089"/>
      </patternFill>
    </fill>
    <fill>
      <patternFill patternType="solid">
        <fgColor rgb="FFFFE6A1"/>
        <bgColor rgb="FFFFE6A1"/>
      </patternFill>
    </fill>
    <fill>
      <patternFill patternType="solid">
        <fgColor rgb="FFFFDB77"/>
        <bgColor rgb="FFFFDB77"/>
      </patternFill>
    </fill>
    <fill>
      <patternFill patternType="solid">
        <fgColor rgb="FFFFE293"/>
        <bgColor rgb="FFFFE293"/>
      </patternFill>
    </fill>
    <fill>
      <patternFill patternType="solid">
        <fgColor rgb="FFFFDB76"/>
        <bgColor rgb="FFFFDB76"/>
      </patternFill>
    </fill>
    <fill>
      <patternFill patternType="solid">
        <fgColor rgb="FFFFE59B"/>
        <bgColor rgb="FFFFE59B"/>
      </patternFill>
    </fill>
    <fill>
      <patternFill patternType="solid">
        <fgColor rgb="FFFFE69F"/>
        <bgColor rgb="FFFFE69F"/>
      </patternFill>
    </fill>
    <fill>
      <patternFill patternType="solid">
        <fgColor rgb="FFFFE18D"/>
        <bgColor rgb="FFFFE18D"/>
      </patternFill>
    </fill>
    <fill>
      <patternFill patternType="solid">
        <fgColor rgb="FFFFD666"/>
        <bgColor rgb="FFFFD666"/>
      </patternFill>
    </fill>
  </fills>
  <borders count="10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/>
    </xf>
    <xf borderId="0" fillId="0" fontId="2" numFmtId="0" xfId="0" applyAlignment="1" applyFont="1">
      <alignment horizontal="center"/>
    </xf>
    <xf borderId="0" fillId="2" fontId="2" numFmtId="0" xfId="0" applyAlignment="1" applyFill="1" applyFont="1">
      <alignment readingOrder="0"/>
    </xf>
    <xf borderId="0" fillId="0" fontId="1" numFmtId="0" xfId="0" applyAlignment="1" applyFont="1">
      <alignment horizontal="right" readingOrder="0"/>
    </xf>
    <xf borderId="1" fillId="0" fontId="2" numFmtId="164" xfId="0" applyAlignment="1" applyBorder="1" applyFont="1" applyNumberFormat="1">
      <alignment horizontal="center"/>
    </xf>
    <xf borderId="2" fillId="0" fontId="2" numFmtId="164" xfId="0" applyAlignment="1" applyBorder="1" applyFont="1" applyNumberFormat="1">
      <alignment horizontal="center"/>
    </xf>
    <xf borderId="3" fillId="0" fontId="2" numFmtId="164" xfId="0" applyAlignment="1" applyBorder="1" applyFont="1" applyNumberFormat="1">
      <alignment horizontal="center"/>
    </xf>
    <xf borderId="4" fillId="0" fontId="2" numFmtId="164" xfId="0" applyAlignment="1" applyBorder="1" applyFont="1" applyNumberFormat="1">
      <alignment horizontal="center"/>
    </xf>
    <xf borderId="0" fillId="0" fontId="2" numFmtId="164" xfId="0" applyAlignment="1" applyFont="1" applyNumberFormat="1">
      <alignment horizontal="center"/>
    </xf>
    <xf borderId="5" fillId="0" fontId="2" numFmtId="164" xfId="0" applyAlignment="1" applyBorder="1" applyFont="1" applyNumberFormat="1">
      <alignment horizontal="center"/>
    </xf>
    <xf borderId="6" fillId="0" fontId="2" numFmtId="164" xfId="0" applyAlignment="1" applyBorder="1" applyFont="1" applyNumberFormat="1">
      <alignment horizontal="center"/>
    </xf>
    <xf borderId="7" fillId="0" fontId="2" numFmtId="164" xfId="0" applyAlignment="1" applyBorder="1" applyFont="1" applyNumberFormat="1">
      <alignment horizontal="center"/>
    </xf>
    <xf borderId="8" fillId="0" fontId="2" numFmtId="164" xfId="0" applyAlignment="1" applyBorder="1" applyFont="1" applyNumberFormat="1">
      <alignment horizontal="center"/>
    </xf>
    <xf borderId="0" fillId="0" fontId="2" numFmtId="0" xfId="0" applyAlignment="1" applyFont="1">
      <alignment horizontal="center" readingOrder="0"/>
    </xf>
    <xf borderId="1" fillId="0" fontId="2" numFmtId="0" xfId="0" applyAlignment="1" applyBorder="1" applyFont="1">
      <alignment horizontal="center"/>
    </xf>
    <xf borderId="2" fillId="0" fontId="2" numFmtId="0" xfId="0" applyAlignment="1" applyBorder="1" applyFont="1">
      <alignment horizontal="center"/>
    </xf>
    <xf borderId="3" fillId="0" fontId="2" numFmtId="0" xfId="0" applyAlignment="1" applyBorder="1" applyFont="1">
      <alignment horizontal="center"/>
    </xf>
    <xf borderId="4" fillId="0" fontId="2" numFmtId="0" xfId="0" applyAlignment="1" applyBorder="1" applyFont="1">
      <alignment horizontal="center"/>
    </xf>
    <xf borderId="5" fillId="0" fontId="2" numFmtId="0" xfId="0" applyAlignment="1" applyBorder="1" applyFont="1">
      <alignment horizontal="center"/>
    </xf>
    <xf borderId="0" fillId="0" fontId="3" numFmtId="0" xfId="0" applyAlignment="1" applyFont="1">
      <alignment horizontal="right" readingOrder="0"/>
    </xf>
    <xf borderId="6" fillId="0" fontId="2" numFmtId="0" xfId="0" applyAlignment="1" applyBorder="1" applyFont="1">
      <alignment horizontal="center"/>
    </xf>
    <xf borderId="7" fillId="0" fontId="2" numFmtId="0" xfId="0" applyAlignment="1" applyBorder="1" applyFont="1">
      <alignment horizontal="center"/>
    </xf>
    <xf borderId="8" fillId="0" fontId="2" numFmtId="0" xfId="0" applyAlignment="1" applyBorder="1" applyFont="1">
      <alignment horizontal="center"/>
    </xf>
    <xf borderId="1" fillId="0" fontId="2" numFmtId="165" xfId="0" applyAlignment="1" applyBorder="1" applyFont="1" applyNumberFormat="1">
      <alignment horizontal="center" readingOrder="0"/>
    </xf>
    <xf borderId="2" fillId="0" fontId="2" numFmtId="165" xfId="0" applyAlignment="1" applyBorder="1" applyFont="1" applyNumberFormat="1">
      <alignment horizontal="center"/>
    </xf>
    <xf borderId="3" fillId="0" fontId="2" numFmtId="165" xfId="0" applyAlignment="1" applyBorder="1" applyFont="1" applyNumberFormat="1">
      <alignment horizontal="center"/>
    </xf>
    <xf borderId="4" fillId="0" fontId="2" numFmtId="165" xfId="0" applyAlignment="1" applyBorder="1" applyFont="1" applyNumberFormat="1">
      <alignment horizontal="center"/>
    </xf>
    <xf borderId="0" fillId="0" fontId="2" numFmtId="165" xfId="0" applyAlignment="1" applyFont="1" applyNumberFormat="1">
      <alignment horizontal="center"/>
    </xf>
    <xf borderId="5" fillId="0" fontId="2" numFmtId="165" xfId="0" applyAlignment="1" applyBorder="1" applyFont="1" applyNumberFormat="1">
      <alignment horizontal="center"/>
    </xf>
    <xf borderId="0" fillId="0" fontId="4" numFmtId="0" xfId="0" applyAlignment="1" applyFont="1">
      <alignment horizontal="right" vertical="bottom"/>
    </xf>
    <xf borderId="6" fillId="0" fontId="2" numFmtId="165" xfId="0" applyAlignment="1" applyBorder="1" applyFont="1" applyNumberFormat="1">
      <alignment horizontal="center"/>
    </xf>
    <xf borderId="7" fillId="0" fontId="2" numFmtId="165" xfId="0" applyAlignment="1" applyBorder="1" applyFont="1" applyNumberFormat="1">
      <alignment horizontal="center"/>
    </xf>
    <xf borderId="8" fillId="0" fontId="2" numFmtId="165" xfId="0" applyAlignment="1" applyBorder="1" applyFont="1" applyNumberFormat="1">
      <alignment horizontal="center"/>
    </xf>
    <xf borderId="1" fillId="0" fontId="2" numFmtId="165" xfId="0" applyAlignment="1" applyBorder="1" applyFont="1" applyNumberFormat="1">
      <alignment horizontal="center"/>
    </xf>
    <xf borderId="0" fillId="0" fontId="4" numFmtId="0" xfId="0" applyAlignment="1" applyFont="1">
      <alignment vertical="bottom"/>
    </xf>
    <xf borderId="0" fillId="2" fontId="4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1" fillId="3" fontId="4" numFmtId="165" xfId="0" applyAlignment="1" applyBorder="1" applyFill="1" applyFont="1" applyNumberFormat="1">
      <alignment horizontal="center" vertical="bottom"/>
    </xf>
    <xf borderId="2" fillId="3" fontId="4" numFmtId="165" xfId="0" applyAlignment="1" applyBorder="1" applyFont="1" applyNumberFormat="1">
      <alignment horizontal="center" vertical="bottom"/>
    </xf>
    <xf borderId="3" fillId="3" fontId="4" numFmtId="165" xfId="0" applyAlignment="1" applyBorder="1" applyFont="1" applyNumberFormat="1">
      <alignment horizontal="center" vertical="bottom"/>
    </xf>
    <xf borderId="4" fillId="3" fontId="4" numFmtId="165" xfId="0" applyAlignment="1" applyBorder="1" applyFont="1" applyNumberFormat="1">
      <alignment horizontal="center" vertical="bottom"/>
    </xf>
    <xf borderId="0" fillId="3" fontId="4" numFmtId="165" xfId="0" applyAlignment="1" applyFont="1" applyNumberFormat="1">
      <alignment horizontal="center" vertical="bottom"/>
    </xf>
    <xf borderId="5" fillId="3" fontId="4" numFmtId="165" xfId="0" applyAlignment="1" applyBorder="1" applyFont="1" applyNumberFormat="1">
      <alignment horizontal="center" vertical="bottom"/>
    </xf>
    <xf borderId="0" fillId="0" fontId="4" numFmtId="0" xfId="0" applyAlignment="1" applyFont="1">
      <alignment readingOrder="0" vertical="bottom"/>
    </xf>
    <xf borderId="6" fillId="3" fontId="4" numFmtId="165" xfId="0" applyAlignment="1" applyBorder="1" applyFont="1" applyNumberFormat="1">
      <alignment horizontal="center" vertical="bottom"/>
    </xf>
    <xf borderId="7" fillId="3" fontId="4" numFmtId="165" xfId="0" applyAlignment="1" applyBorder="1" applyFont="1" applyNumberFormat="1">
      <alignment horizontal="center" vertical="bottom"/>
    </xf>
    <xf borderId="8" fillId="3" fontId="4" numFmtId="165" xfId="0" applyAlignment="1" applyBorder="1" applyFont="1" applyNumberFormat="1">
      <alignment horizontal="center" vertical="bottom"/>
    </xf>
    <xf borderId="0" fillId="0" fontId="4" numFmtId="0" xfId="0" applyAlignment="1" applyFont="1">
      <alignment horizontal="center" vertical="bottom"/>
    </xf>
    <xf borderId="1" fillId="4" fontId="4" numFmtId="164" xfId="0" applyAlignment="1" applyBorder="1" applyFill="1" applyFont="1" applyNumberFormat="1">
      <alignment horizontal="center" vertical="bottom"/>
    </xf>
    <xf borderId="2" fillId="5" fontId="4" numFmtId="164" xfId="0" applyAlignment="1" applyBorder="1" applyFill="1" applyFont="1" applyNumberFormat="1">
      <alignment horizontal="center" vertical="bottom"/>
    </xf>
    <xf borderId="2" fillId="6" fontId="4" numFmtId="164" xfId="0" applyAlignment="1" applyBorder="1" applyFill="1" applyFont="1" applyNumberFormat="1">
      <alignment horizontal="center" vertical="bottom"/>
    </xf>
    <xf borderId="2" fillId="7" fontId="4" numFmtId="164" xfId="0" applyAlignment="1" applyBorder="1" applyFill="1" applyFont="1" applyNumberFormat="1">
      <alignment horizontal="center" vertical="bottom"/>
    </xf>
    <xf borderId="3" fillId="8" fontId="4" numFmtId="164" xfId="0" applyAlignment="1" applyBorder="1" applyFill="1" applyFont="1" applyNumberFormat="1">
      <alignment horizontal="center" vertical="bottom"/>
    </xf>
    <xf borderId="4" fillId="9" fontId="4" numFmtId="164" xfId="0" applyAlignment="1" applyBorder="1" applyFill="1" applyFont="1" applyNumberFormat="1">
      <alignment horizontal="center" vertical="bottom"/>
    </xf>
    <xf borderId="0" fillId="10" fontId="4" numFmtId="164" xfId="0" applyAlignment="1" applyFill="1" applyFont="1" applyNumberFormat="1">
      <alignment horizontal="center" vertical="bottom"/>
    </xf>
    <xf borderId="0" fillId="11" fontId="4" numFmtId="164" xfId="0" applyAlignment="1" applyFill="1" applyFont="1" applyNumberFormat="1">
      <alignment horizontal="center" vertical="bottom"/>
    </xf>
    <xf borderId="0" fillId="12" fontId="4" numFmtId="164" xfId="0" applyAlignment="1" applyFill="1" applyFont="1" applyNumberFormat="1">
      <alignment horizontal="center" vertical="bottom"/>
    </xf>
    <xf borderId="5" fillId="5" fontId="4" numFmtId="164" xfId="0" applyAlignment="1" applyBorder="1" applyFont="1" applyNumberFormat="1">
      <alignment horizontal="center" vertical="bottom"/>
    </xf>
    <xf borderId="4" fillId="13" fontId="4" numFmtId="164" xfId="0" applyAlignment="1" applyBorder="1" applyFill="1" applyFont="1" applyNumberFormat="1">
      <alignment horizontal="center" vertical="bottom"/>
    </xf>
    <xf borderId="0" fillId="14" fontId="4" numFmtId="164" xfId="0" applyAlignment="1" applyFill="1" applyFont="1" applyNumberFormat="1">
      <alignment horizontal="center" vertical="bottom"/>
    </xf>
    <xf borderId="0" fillId="15" fontId="4" numFmtId="164" xfId="0" applyAlignment="1" applyFill="1" applyFont="1" applyNumberFormat="1">
      <alignment horizontal="center" vertical="bottom"/>
    </xf>
    <xf borderId="0" fillId="16" fontId="4" numFmtId="164" xfId="0" applyAlignment="1" applyFill="1" applyFont="1" applyNumberFormat="1">
      <alignment horizontal="center" vertical="bottom"/>
    </xf>
    <xf borderId="5" fillId="17" fontId="4" numFmtId="164" xfId="0" applyAlignment="1" applyBorder="1" applyFill="1" applyFont="1" applyNumberFormat="1">
      <alignment horizontal="center" vertical="bottom"/>
    </xf>
    <xf borderId="4" fillId="18" fontId="4" numFmtId="164" xfId="0" applyAlignment="1" applyBorder="1" applyFill="1" applyFont="1" applyNumberFormat="1">
      <alignment horizontal="center" vertical="bottom"/>
    </xf>
    <xf borderId="0" fillId="19" fontId="4" numFmtId="164" xfId="0" applyAlignment="1" applyFill="1" applyFont="1" applyNumberFormat="1">
      <alignment horizontal="center" vertical="bottom"/>
    </xf>
    <xf borderId="0" fillId="9" fontId="4" numFmtId="164" xfId="0" applyAlignment="1" applyFont="1" applyNumberFormat="1">
      <alignment horizontal="center" vertical="bottom"/>
    </xf>
    <xf borderId="0" fillId="20" fontId="4" numFmtId="164" xfId="0" applyAlignment="1" applyFill="1" applyFont="1" applyNumberFormat="1">
      <alignment horizontal="center" vertical="bottom"/>
    </xf>
    <xf borderId="5" fillId="21" fontId="4" numFmtId="164" xfId="0" applyAlignment="1" applyBorder="1" applyFill="1" applyFont="1" applyNumberFormat="1">
      <alignment horizontal="center" vertical="bottom"/>
    </xf>
    <xf borderId="6" fillId="19" fontId="4" numFmtId="164" xfId="0" applyAlignment="1" applyBorder="1" applyFont="1" applyNumberFormat="1">
      <alignment horizontal="center" vertical="bottom"/>
    </xf>
    <xf borderId="7" fillId="22" fontId="4" numFmtId="164" xfId="0" applyAlignment="1" applyBorder="1" applyFill="1" applyFont="1" applyNumberFormat="1">
      <alignment horizontal="center" vertical="bottom"/>
    </xf>
    <xf borderId="7" fillId="23" fontId="4" numFmtId="164" xfId="0" applyAlignment="1" applyBorder="1" applyFill="1" applyFont="1" applyNumberFormat="1">
      <alignment horizontal="center" vertical="bottom"/>
    </xf>
    <xf borderId="7" fillId="9" fontId="4" numFmtId="164" xfId="0" applyAlignment="1" applyBorder="1" applyFont="1" applyNumberFormat="1">
      <alignment horizontal="center" vertical="bottom"/>
    </xf>
    <xf borderId="8" fillId="24" fontId="4" numFmtId="164" xfId="0" applyAlignment="1" applyBorder="1" applyFill="1" applyFont="1" applyNumberFormat="1">
      <alignment horizontal="center" vertical="bottom"/>
    </xf>
    <xf borderId="1" fillId="25" fontId="4" numFmtId="165" xfId="0" applyAlignment="1" applyBorder="1" applyFill="1" applyFont="1" applyNumberFormat="1">
      <alignment horizontal="center" vertical="bottom"/>
    </xf>
    <xf borderId="2" fillId="26" fontId="4" numFmtId="165" xfId="0" applyAlignment="1" applyBorder="1" applyFill="1" applyFont="1" applyNumberFormat="1">
      <alignment horizontal="center" vertical="bottom"/>
    </xf>
    <xf borderId="2" fillId="27" fontId="4" numFmtId="165" xfId="0" applyAlignment="1" applyBorder="1" applyFill="1" applyFont="1" applyNumberFormat="1">
      <alignment horizontal="center" vertical="bottom"/>
    </xf>
    <xf borderId="2" fillId="28" fontId="4" numFmtId="165" xfId="0" applyAlignment="1" applyBorder="1" applyFill="1" applyFont="1" applyNumberFormat="1">
      <alignment horizontal="center" vertical="bottom"/>
    </xf>
    <xf borderId="3" fillId="29" fontId="4" numFmtId="165" xfId="0" applyAlignment="1" applyBorder="1" applyFill="1" applyFont="1" applyNumberFormat="1">
      <alignment horizontal="center" vertical="bottom"/>
    </xf>
    <xf borderId="1" fillId="16" fontId="4" numFmtId="164" xfId="0" applyAlignment="1" applyBorder="1" applyFont="1" applyNumberFormat="1">
      <alignment horizontal="center" vertical="bottom"/>
    </xf>
    <xf borderId="2" fillId="30" fontId="4" numFmtId="164" xfId="0" applyAlignment="1" applyBorder="1" applyFill="1" applyFont="1" applyNumberFormat="1">
      <alignment horizontal="center" vertical="bottom"/>
    </xf>
    <xf borderId="2" fillId="13" fontId="4" numFmtId="164" xfId="0" applyAlignment="1" applyBorder="1" applyFont="1" applyNumberFormat="1">
      <alignment horizontal="center" vertical="bottom"/>
    </xf>
    <xf borderId="3" fillId="6" fontId="4" numFmtId="164" xfId="0" applyAlignment="1" applyBorder="1" applyFont="1" applyNumberFormat="1">
      <alignment horizontal="center" vertical="bottom"/>
    </xf>
    <xf borderId="4" fillId="31" fontId="4" numFmtId="165" xfId="0" applyAlignment="1" applyBorder="1" applyFill="1" applyFont="1" applyNumberFormat="1">
      <alignment horizontal="center" vertical="bottom"/>
    </xf>
    <xf borderId="0" fillId="32" fontId="4" numFmtId="165" xfId="0" applyAlignment="1" applyFill="1" applyFont="1" applyNumberFormat="1">
      <alignment horizontal="center" vertical="bottom"/>
    </xf>
    <xf borderId="0" fillId="33" fontId="4" numFmtId="165" xfId="0" applyAlignment="1" applyFill="1" applyFont="1" applyNumberFormat="1">
      <alignment horizontal="center" vertical="bottom"/>
    </xf>
    <xf borderId="0" fillId="8" fontId="4" numFmtId="165" xfId="0" applyAlignment="1" applyFont="1" applyNumberFormat="1">
      <alignment horizontal="center" vertical="bottom"/>
    </xf>
    <xf borderId="5" fillId="4" fontId="4" numFmtId="165" xfId="0" applyAlignment="1" applyBorder="1" applyFont="1" applyNumberFormat="1">
      <alignment horizontal="center" vertical="bottom"/>
    </xf>
    <xf borderId="4" fillId="4" fontId="4" numFmtId="164" xfId="0" applyAlignment="1" applyBorder="1" applyFont="1" applyNumberFormat="1">
      <alignment horizontal="center" vertical="bottom"/>
    </xf>
    <xf borderId="0" fillId="34" fontId="4" numFmtId="164" xfId="0" applyAlignment="1" applyFill="1" applyFont="1" applyNumberFormat="1">
      <alignment horizontal="center" vertical="bottom"/>
    </xf>
    <xf borderId="0" fillId="35" fontId="4" numFmtId="164" xfId="0" applyAlignment="1" applyFill="1" applyFont="1" applyNumberFormat="1">
      <alignment horizontal="center" vertical="bottom"/>
    </xf>
    <xf borderId="0" fillId="36" fontId="4" numFmtId="164" xfId="0" applyAlignment="1" applyFill="1" applyFont="1" applyNumberFormat="1">
      <alignment horizontal="center" vertical="bottom"/>
    </xf>
    <xf borderId="5" fillId="37" fontId="4" numFmtId="164" xfId="0" applyAlignment="1" applyBorder="1" applyFill="1" applyFont="1" applyNumberFormat="1">
      <alignment horizontal="center" vertical="bottom"/>
    </xf>
    <xf borderId="4" fillId="38" fontId="4" numFmtId="165" xfId="0" applyAlignment="1" applyBorder="1" applyFill="1" applyFont="1" applyNumberFormat="1">
      <alignment horizontal="center" vertical="bottom"/>
    </xf>
    <xf borderId="0" fillId="24" fontId="4" numFmtId="165" xfId="0" applyAlignment="1" applyFont="1" applyNumberFormat="1">
      <alignment horizontal="center" vertical="bottom"/>
    </xf>
    <xf borderId="0" fillId="39" fontId="4" numFmtId="165" xfId="0" applyAlignment="1" applyFill="1" applyFont="1" applyNumberFormat="1">
      <alignment horizontal="center" vertical="bottom"/>
    </xf>
    <xf borderId="0" fillId="40" fontId="4" numFmtId="165" xfId="0" applyAlignment="1" applyFill="1" applyFont="1" applyNumberFormat="1">
      <alignment horizontal="center" vertical="bottom"/>
    </xf>
    <xf borderId="5" fillId="41" fontId="4" numFmtId="165" xfId="0" applyAlignment="1" applyBorder="1" applyFill="1" applyFont="1" applyNumberFormat="1">
      <alignment horizontal="center" vertical="bottom"/>
    </xf>
    <xf borderId="4" fillId="42" fontId="4" numFmtId="164" xfId="0" applyAlignment="1" applyBorder="1" applyFill="1" applyFont="1" applyNumberFormat="1">
      <alignment horizontal="center" vertical="bottom"/>
    </xf>
    <xf borderId="0" fillId="43" fontId="4" numFmtId="164" xfId="0" applyAlignment="1" applyFill="1" applyFont="1" applyNumberFormat="1">
      <alignment horizontal="center" vertical="bottom"/>
    </xf>
    <xf borderId="0" fillId="44" fontId="4" numFmtId="164" xfId="0" applyAlignment="1" applyFill="1" applyFont="1" applyNumberFormat="1">
      <alignment horizontal="center" vertical="bottom"/>
    </xf>
    <xf borderId="0" fillId="45" fontId="4" numFmtId="164" xfId="0" applyAlignment="1" applyFill="1" applyFont="1" applyNumberFormat="1">
      <alignment horizontal="center" vertical="bottom"/>
    </xf>
    <xf borderId="5" fillId="46" fontId="4" numFmtId="164" xfId="0" applyAlignment="1" applyBorder="1" applyFill="1" applyFont="1" applyNumberFormat="1">
      <alignment horizontal="center" vertical="bottom"/>
    </xf>
    <xf borderId="4" fillId="47" fontId="4" numFmtId="165" xfId="0" applyAlignment="1" applyBorder="1" applyFill="1" applyFont="1" applyNumberFormat="1">
      <alignment horizontal="center" vertical="bottom"/>
    </xf>
    <xf borderId="0" fillId="48" fontId="4" numFmtId="165" xfId="0" applyAlignment="1" applyFill="1" applyFont="1" applyNumberFormat="1">
      <alignment horizontal="center" vertical="bottom"/>
    </xf>
    <xf borderId="5" fillId="49" fontId="4" numFmtId="165" xfId="0" applyAlignment="1" applyBorder="1" applyFill="1" applyFont="1" applyNumberFormat="1">
      <alignment horizontal="center" vertical="bottom"/>
    </xf>
    <xf borderId="0" fillId="50" fontId="4" numFmtId="164" xfId="0" applyAlignment="1" applyFill="1" applyFont="1" applyNumberFormat="1">
      <alignment horizontal="center" vertical="bottom"/>
    </xf>
    <xf borderId="0" fillId="51" fontId="4" numFmtId="164" xfId="0" applyAlignment="1" applyFill="1" applyFont="1" applyNumberFormat="1">
      <alignment horizontal="center" vertical="bottom"/>
    </xf>
    <xf borderId="0" fillId="8" fontId="4" numFmtId="164" xfId="0" applyAlignment="1" applyFont="1" applyNumberFormat="1">
      <alignment horizontal="center" vertical="bottom"/>
    </xf>
    <xf borderId="5" fillId="52" fontId="4" numFmtId="164" xfId="0" applyAlignment="1" applyBorder="1" applyFill="1" applyFont="1" applyNumberFormat="1">
      <alignment horizontal="center" vertical="bottom"/>
    </xf>
    <xf borderId="6" fillId="53" fontId="4" numFmtId="165" xfId="0" applyAlignment="1" applyBorder="1" applyFill="1" applyFont="1" applyNumberFormat="1">
      <alignment horizontal="center" vertical="bottom"/>
    </xf>
    <xf borderId="7" fillId="47" fontId="4" numFmtId="165" xfId="0" applyAlignment="1" applyBorder="1" applyFont="1" applyNumberFormat="1">
      <alignment horizontal="center" vertical="bottom"/>
    </xf>
    <xf borderId="7" fillId="54" fontId="4" numFmtId="165" xfId="0" applyAlignment="1" applyBorder="1" applyFill="1" applyFont="1" applyNumberFormat="1">
      <alignment horizontal="center" vertical="bottom"/>
    </xf>
    <xf borderId="7" fillId="55" fontId="4" numFmtId="165" xfId="0" applyAlignment="1" applyBorder="1" applyFill="1" applyFont="1" applyNumberFormat="1">
      <alignment horizontal="center" vertical="bottom"/>
    </xf>
    <xf borderId="8" fillId="56" fontId="4" numFmtId="165" xfId="0" applyAlignment="1" applyBorder="1" applyFill="1" applyFont="1" applyNumberFormat="1">
      <alignment horizontal="center" vertical="bottom"/>
    </xf>
    <xf borderId="6" fillId="57" fontId="4" numFmtId="164" xfId="0" applyAlignment="1" applyBorder="1" applyFill="1" applyFont="1" applyNumberFormat="1">
      <alignment horizontal="center" vertical="bottom"/>
    </xf>
    <xf borderId="7" fillId="58" fontId="4" numFmtId="164" xfId="0" applyAlignment="1" applyBorder="1" applyFill="1" applyFont="1" applyNumberFormat="1">
      <alignment horizontal="center" vertical="bottom"/>
    </xf>
    <xf borderId="7" fillId="19" fontId="4" numFmtId="164" xfId="0" applyAlignment="1" applyBorder="1" applyFont="1" applyNumberFormat="1">
      <alignment horizontal="center" vertical="bottom"/>
    </xf>
    <xf borderId="7" fillId="26" fontId="4" numFmtId="164" xfId="0" applyAlignment="1" applyBorder="1" applyFont="1" applyNumberFormat="1">
      <alignment horizontal="center" vertical="bottom"/>
    </xf>
    <xf borderId="8" fillId="51" fontId="4" numFmtId="164" xfId="0" applyAlignment="1" applyBorder="1" applyFont="1" applyNumberFormat="1">
      <alignment horizontal="center" vertical="bottom"/>
    </xf>
    <xf borderId="0" fillId="0" fontId="5" numFmtId="0" xfId="0" applyAlignment="1" applyFont="1">
      <alignment horizontal="right" readingOrder="0" vertical="bottom"/>
    </xf>
    <xf borderId="1" fillId="0" fontId="4" numFmtId="164" xfId="0" applyAlignment="1" applyBorder="1" applyFont="1" applyNumberFormat="1">
      <alignment horizontal="center" vertical="bottom"/>
    </xf>
    <xf borderId="2" fillId="0" fontId="4" numFmtId="164" xfId="0" applyAlignment="1" applyBorder="1" applyFont="1" applyNumberFormat="1">
      <alignment horizontal="center" vertical="bottom"/>
    </xf>
    <xf borderId="3" fillId="0" fontId="4" numFmtId="164" xfId="0" applyAlignment="1" applyBorder="1" applyFont="1" applyNumberFormat="1">
      <alignment horizontal="center" vertical="bottom"/>
    </xf>
    <xf borderId="4" fillId="0" fontId="4" numFmtId="164" xfId="0" applyAlignment="1" applyBorder="1" applyFont="1" applyNumberFormat="1">
      <alignment horizontal="center" vertical="bottom"/>
    </xf>
    <xf borderId="0" fillId="0" fontId="4" numFmtId="164" xfId="0" applyAlignment="1" applyFont="1" applyNumberFormat="1">
      <alignment horizontal="center" vertical="bottom"/>
    </xf>
    <xf borderId="5" fillId="0" fontId="4" numFmtId="164" xfId="0" applyAlignment="1" applyBorder="1" applyFont="1" applyNumberFormat="1">
      <alignment horizontal="center" vertical="bottom"/>
    </xf>
    <xf borderId="6" fillId="0" fontId="4" numFmtId="164" xfId="0" applyAlignment="1" applyBorder="1" applyFont="1" applyNumberFormat="1">
      <alignment horizontal="center" vertical="bottom"/>
    </xf>
    <xf borderId="7" fillId="0" fontId="4" numFmtId="164" xfId="0" applyAlignment="1" applyBorder="1" applyFont="1" applyNumberFormat="1">
      <alignment horizontal="center" vertical="bottom"/>
    </xf>
    <xf borderId="8" fillId="0" fontId="4" numFmtId="164" xfId="0" applyAlignment="1" applyBorder="1" applyFont="1" applyNumberFormat="1">
      <alignment horizontal="center" vertical="bottom"/>
    </xf>
    <xf borderId="9" fillId="0" fontId="2" numFmtId="0" xfId="0" applyAlignment="1" applyBorder="1" applyFont="1">
      <alignment horizontal="center" readingOrder="0"/>
    </xf>
    <xf borderId="2" fillId="0" fontId="2" numFmtId="164" xfId="0" applyAlignment="1" applyBorder="1" applyFont="1" applyNumberForma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7" fillId="0" fontId="2" numFmtId="164" xfId="0" applyAlignment="1" applyBorder="1" applyFont="1" applyNumberFormat="1">
      <alignment horizontal="center" readingOrder="0"/>
    </xf>
    <xf borderId="1" fillId="59" fontId="4" numFmtId="164" xfId="0" applyAlignment="1" applyBorder="1" applyFill="1" applyFont="1" applyNumberFormat="1">
      <alignment horizontal="center" vertical="bottom"/>
    </xf>
    <xf borderId="2" fillId="34" fontId="4" numFmtId="164" xfId="0" applyAlignment="1" applyBorder="1" applyFont="1" applyNumberFormat="1">
      <alignment horizontal="center" vertical="bottom"/>
    </xf>
    <xf borderId="2" fillId="55" fontId="4" numFmtId="164" xfId="0" applyAlignment="1" applyBorder="1" applyFont="1" applyNumberFormat="1">
      <alignment horizontal="center" vertical="bottom"/>
    </xf>
    <xf borderId="2" fillId="60" fontId="4" numFmtId="164" xfId="0" applyAlignment="1" applyBorder="1" applyFill="1" applyFont="1" applyNumberFormat="1">
      <alignment horizontal="center" vertical="bottom"/>
    </xf>
    <xf borderId="3" fillId="61" fontId="4" numFmtId="164" xfId="0" applyAlignment="1" applyBorder="1" applyFill="1" applyFont="1" applyNumberFormat="1">
      <alignment horizontal="center" vertical="bottom"/>
    </xf>
    <xf borderId="4" fillId="62" fontId="4" numFmtId="164" xfId="0" applyAlignment="1" applyBorder="1" applyFill="1" applyFont="1" applyNumberFormat="1">
      <alignment horizontal="center" vertical="bottom"/>
    </xf>
    <xf borderId="0" fillId="63" fontId="4" numFmtId="164" xfId="0" applyAlignment="1" applyFill="1" applyFont="1" applyNumberFormat="1">
      <alignment horizontal="center" vertical="bottom"/>
    </xf>
    <xf borderId="0" fillId="53" fontId="4" numFmtId="164" xfId="0" applyAlignment="1" applyFont="1" applyNumberFormat="1">
      <alignment horizontal="center" vertical="bottom"/>
    </xf>
    <xf borderId="0" fillId="64" fontId="4" numFmtId="164" xfId="0" applyAlignment="1" applyFill="1" applyFont="1" applyNumberFormat="1">
      <alignment horizontal="center" vertical="bottom"/>
    </xf>
    <xf borderId="5" fillId="65" fontId="4" numFmtId="164" xfId="0" applyAlignment="1" applyBorder="1" applyFill="1" applyFont="1" applyNumberFormat="1">
      <alignment horizontal="center" vertical="bottom"/>
    </xf>
    <xf borderId="4" fillId="66" fontId="4" numFmtId="164" xfId="0" applyAlignment="1" applyBorder="1" applyFill="1" applyFont="1" applyNumberFormat="1">
      <alignment horizontal="center" vertical="bottom"/>
    </xf>
    <xf borderId="0" fillId="48" fontId="4" numFmtId="164" xfId="0" applyAlignment="1" applyFont="1" applyNumberFormat="1">
      <alignment horizontal="center" vertical="bottom"/>
    </xf>
    <xf borderId="0" fillId="18" fontId="4" numFmtId="164" xfId="0" applyAlignment="1" applyFont="1" applyNumberFormat="1">
      <alignment horizontal="center" vertical="bottom"/>
    </xf>
    <xf borderId="5" fillId="36" fontId="4" numFmtId="164" xfId="0" applyAlignment="1" applyBorder="1" applyFont="1" applyNumberFormat="1">
      <alignment horizontal="center" vertical="bottom"/>
    </xf>
    <xf borderId="4" fillId="67" fontId="4" numFmtId="164" xfId="0" applyAlignment="1" applyBorder="1" applyFill="1" applyFont="1" applyNumberFormat="1">
      <alignment horizontal="center" vertical="bottom"/>
    </xf>
    <xf borderId="0" fillId="46" fontId="4" numFmtId="164" xfId="0" applyAlignment="1" applyFont="1" applyNumberFormat="1">
      <alignment horizontal="center" vertical="bottom"/>
    </xf>
    <xf borderId="0" fillId="68" fontId="4" numFmtId="164" xfId="0" applyAlignment="1" applyFill="1" applyFont="1" applyNumberFormat="1">
      <alignment horizontal="center" vertical="bottom"/>
    </xf>
    <xf borderId="5" fillId="60" fontId="4" numFmtId="164" xfId="0" applyAlignment="1" applyBorder="1" applyFont="1" applyNumberFormat="1">
      <alignment horizontal="center" vertical="bottom"/>
    </xf>
    <xf borderId="6" fillId="69" fontId="4" numFmtId="164" xfId="0" applyAlignment="1" applyBorder="1" applyFill="1" applyFont="1" applyNumberFormat="1">
      <alignment horizontal="center" vertical="bottom"/>
    </xf>
    <xf borderId="7" fillId="70" fontId="4" numFmtId="164" xfId="0" applyAlignment="1" applyBorder="1" applyFill="1" applyFont="1" applyNumberFormat="1">
      <alignment horizontal="center" vertical="bottom"/>
    </xf>
    <xf borderId="7" fillId="71" fontId="4" numFmtId="164" xfId="0" applyAlignment="1" applyBorder="1" applyFill="1" applyFont="1" applyNumberFormat="1">
      <alignment horizontal="center" vertical="bottom"/>
    </xf>
    <xf borderId="7" fillId="72" fontId="4" numFmtId="164" xfId="0" applyAlignment="1" applyBorder="1" applyFill="1" applyFont="1" applyNumberFormat="1">
      <alignment horizontal="center" vertical="bottom"/>
    </xf>
    <xf borderId="8" fillId="73" fontId="4" numFmtId="164" xfId="0" applyAlignment="1" applyBorder="1" applyFill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352425</xdr:colOff>
      <xdr:row>34</xdr:row>
      <xdr:rowOff>180975</xdr:rowOff>
    </xdr:from>
    <xdr:ext cx="1495425" cy="2695575"/>
    <xdr:grpSp>
      <xdr:nvGrpSpPr>
        <xdr:cNvPr id="2" name="Shape 2" title="Drawing"/>
        <xdr:cNvGrpSpPr/>
      </xdr:nvGrpSpPr>
      <xdr:grpSpPr>
        <a:xfrm>
          <a:off x="1909973" y="989160"/>
          <a:ext cx="1301321" cy="2695890"/>
          <a:chOff x="1909973" y="989160"/>
          <a:chExt cx="1301321" cy="2695890"/>
        </a:xfrm>
      </xdr:grpSpPr>
      <xdr:sp>
        <xdr:nvSpPr>
          <xdr:cNvPr id="3" name="Shape 3"/>
          <xdr:cNvSpPr/>
        </xdr:nvSpPr>
        <xdr:spPr>
          <a:xfrm>
            <a:off x="1968025" y="989160"/>
            <a:ext cx="952525" cy="2505100"/>
          </a:xfrm>
          <a:custGeom>
            <a:rect b="b" l="l" r="r" t="t"/>
            <a:pathLst>
              <a:path extrusionOk="0" h="100204" w="38101">
                <a:moveTo>
                  <a:pt x="804" y="196"/>
                </a:moveTo>
                <a:cubicBezTo>
                  <a:pt x="13914" y="-1113"/>
                  <a:pt x="32126" y="6004"/>
                  <a:pt x="35746" y="18672"/>
                </a:cubicBezTo>
                <a:cubicBezTo>
                  <a:pt x="43900" y="47205"/>
                  <a:pt x="29675" y="100205"/>
                  <a:pt x="0" y="100205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4" name="Shape 4"/>
          <xdr:cNvSpPr/>
        </xdr:nvSpPr>
        <xdr:spPr>
          <a:xfrm>
            <a:off x="1909973" y="3092625"/>
            <a:ext cx="309075" cy="592425"/>
          </a:xfrm>
          <a:custGeom>
            <a:rect b="b" l="l" r="r" t="t"/>
            <a:pathLst>
              <a:path extrusionOk="0" h="23697" w="12363">
                <a:moveTo>
                  <a:pt x="4732" y="0"/>
                </a:moveTo>
                <a:cubicBezTo>
                  <a:pt x="3503" y="6154"/>
                  <a:pt x="-2366" y="13255"/>
                  <a:pt x="1117" y="18475"/>
                </a:cubicBezTo>
                <a:cubicBezTo>
                  <a:pt x="3411" y="21913"/>
                  <a:pt x="8667" y="21847"/>
                  <a:pt x="12363" y="23697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5" name="Shape 5"/>
          <xdr:cNvSpPr/>
        </xdr:nvSpPr>
        <xdr:spPr>
          <a:xfrm>
            <a:off x="2711075" y="2068450"/>
            <a:ext cx="451850" cy="50200"/>
          </a:xfrm>
          <a:custGeom>
            <a:rect b="b" l="l" r="r" t="t"/>
            <a:pathLst>
              <a:path extrusionOk="0" h="2008" w="18074">
                <a:moveTo>
                  <a:pt x="18074" y="0"/>
                </a:moveTo>
                <a:cubicBezTo>
                  <a:pt x="12012" y="0"/>
                  <a:pt x="6062" y="2008"/>
                  <a:pt x="0" y="2008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6" name="Shape 6"/>
          <xdr:cNvSpPr/>
        </xdr:nvSpPr>
        <xdr:spPr>
          <a:xfrm>
            <a:off x="2891800" y="1887700"/>
            <a:ext cx="70300" cy="401650"/>
          </a:xfrm>
          <a:custGeom>
            <a:rect b="b" l="l" r="r" t="t"/>
            <a:pathLst>
              <a:path extrusionOk="0" h="16066" w="2812">
                <a:moveTo>
                  <a:pt x="0" y="0"/>
                </a:moveTo>
                <a:cubicBezTo>
                  <a:pt x="0" y="5437"/>
                  <a:pt x="378" y="11204"/>
                  <a:pt x="2812" y="16066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7" name="Shape 7"/>
          <xdr:cNvSpPr/>
        </xdr:nvSpPr>
        <xdr:spPr>
          <a:xfrm>
            <a:off x="2603269" y="1814687"/>
            <a:ext cx="608025" cy="659350"/>
          </a:xfrm>
          <a:custGeom>
            <a:rect b="b" l="l" r="r" t="t"/>
            <a:pathLst>
              <a:path extrusionOk="0" h="26374" w="24321">
                <a:moveTo>
                  <a:pt x="295" y="10552"/>
                </a:moveTo>
                <a:cubicBezTo>
                  <a:pt x="1958" y="6398"/>
                  <a:pt x="4342" y="-766"/>
                  <a:pt x="8730" y="110"/>
                </a:cubicBezTo>
                <a:cubicBezTo>
                  <a:pt x="16871" y="1736"/>
                  <a:pt x="26008" y="11737"/>
                  <a:pt x="23992" y="19790"/>
                </a:cubicBezTo>
                <a:cubicBezTo>
                  <a:pt x="23342" y="22387"/>
                  <a:pt x="21823" y="25838"/>
                  <a:pt x="19172" y="26216"/>
                </a:cubicBezTo>
                <a:cubicBezTo>
                  <a:pt x="14717" y="26852"/>
                  <a:pt x="11125" y="22090"/>
                  <a:pt x="7525" y="19389"/>
                </a:cubicBezTo>
                <a:cubicBezTo>
                  <a:pt x="4563" y="17166"/>
                  <a:pt x="-1359" y="14267"/>
                  <a:pt x="295" y="10954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</xdr:grpSp>
    <xdr:clientData fLocksWithSheet="0"/>
  </xdr:oneCellAnchor>
  <xdr:oneCellAnchor>
    <xdr:from>
      <xdr:col>13</xdr:col>
      <xdr:colOff>361950</xdr:colOff>
      <xdr:row>88</xdr:row>
      <xdr:rowOff>28575</xdr:rowOff>
    </xdr:from>
    <xdr:ext cx="1476375" cy="2171700"/>
    <xdr:grpSp>
      <xdr:nvGrpSpPr>
        <xdr:cNvPr id="2" name="Shape 2" title="Drawing"/>
        <xdr:cNvGrpSpPr/>
      </xdr:nvGrpSpPr>
      <xdr:grpSpPr>
        <a:xfrm>
          <a:off x="1315375" y="1204925"/>
          <a:ext cx="1455950" cy="2596925"/>
          <a:chOff x="1315375" y="1204925"/>
          <a:chExt cx="1455950" cy="2596925"/>
        </a:xfrm>
      </xdr:grpSpPr>
      <xdr:sp>
        <xdr:nvSpPr>
          <xdr:cNvPr id="8" name="Shape 8"/>
          <xdr:cNvSpPr/>
        </xdr:nvSpPr>
        <xdr:spPr>
          <a:xfrm>
            <a:off x="1315375" y="1204925"/>
            <a:ext cx="1174425" cy="2580525"/>
          </a:xfrm>
          <a:custGeom>
            <a:rect b="b" l="l" r="r" t="t"/>
            <a:pathLst>
              <a:path extrusionOk="0" h="103221" w="46977">
                <a:moveTo>
                  <a:pt x="0" y="0"/>
                </a:moveTo>
                <a:cubicBezTo>
                  <a:pt x="12698" y="0"/>
                  <a:pt x="27811" y="5297"/>
                  <a:pt x="34541" y="16065"/>
                </a:cubicBezTo>
                <a:cubicBezTo>
                  <a:pt x="50084" y="40936"/>
                  <a:pt x="46590" y="73893"/>
                  <a:pt x="46590" y="103221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9" name="Shape 9"/>
          <xdr:cNvSpPr/>
        </xdr:nvSpPr>
        <xdr:spPr>
          <a:xfrm>
            <a:off x="2168850" y="3474175"/>
            <a:ext cx="602475" cy="327675"/>
          </a:xfrm>
          <a:custGeom>
            <a:rect b="b" l="l" r="r" t="t"/>
            <a:pathLst>
              <a:path extrusionOk="0" h="13107" w="24099">
                <a:moveTo>
                  <a:pt x="0" y="0"/>
                </a:moveTo>
                <a:cubicBezTo>
                  <a:pt x="3467" y="4162"/>
                  <a:pt x="5935" y="9447"/>
                  <a:pt x="10443" y="12451"/>
                </a:cubicBezTo>
                <a:cubicBezTo>
                  <a:pt x="15280" y="15674"/>
                  <a:pt x="19986" y="5715"/>
                  <a:pt x="24099" y="1607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</xdr:grpSp>
    <xdr:clientData fLocksWithSheet="0"/>
  </xdr:oneCellAnchor>
  <xdr:oneCellAnchor>
    <xdr:from>
      <xdr:col>13</xdr:col>
      <xdr:colOff>361950</xdr:colOff>
      <xdr:row>110</xdr:row>
      <xdr:rowOff>114300</xdr:rowOff>
    </xdr:from>
    <xdr:ext cx="1552575" cy="4029075"/>
    <xdr:grpSp>
      <xdr:nvGrpSpPr>
        <xdr:cNvPr id="2" name="Shape 2" title="Drawing"/>
        <xdr:cNvGrpSpPr/>
      </xdr:nvGrpSpPr>
      <xdr:grpSpPr>
        <a:xfrm>
          <a:off x="1154725" y="1204925"/>
          <a:ext cx="1364475" cy="2972125"/>
          <a:chOff x="1154725" y="1204925"/>
          <a:chExt cx="1364475" cy="2972125"/>
        </a:xfrm>
      </xdr:grpSpPr>
      <xdr:sp>
        <xdr:nvSpPr>
          <xdr:cNvPr id="10" name="Shape 10"/>
          <xdr:cNvSpPr/>
        </xdr:nvSpPr>
        <xdr:spPr>
          <a:xfrm>
            <a:off x="1154725" y="1204925"/>
            <a:ext cx="1208450" cy="2871725"/>
          </a:xfrm>
          <a:custGeom>
            <a:rect b="b" l="l" r="r" t="t"/>
            <a:pathLst>
              <a:path extrusionOk="0" h="114869" w="48338">
                <a:moveTo>
                  <a:pt x="0" y="0"/>
                </a:moveTo>
                <a:cubicBezTo>
                  <a:pt x="17668" y="7065"/>
                  <a:pt x="31611" y="23374"/>
                  <a:pt x="40565" y="40164"/>
                </a:cubicBezTo>
                <a:cubicBezTo>
                  <a:pt x="44590" y="47711"/>
                  <a:pt x="48764" y="56129"/>
                  <a:pt x="48196" y="64664"/>
                </a:cubicBezTo>
                <a:cubicBezTo>
                  <a:pt x="46680" y="87444"/>
                  <a:pt x="22021" y="104649"/>
                  <a:pt x="1606" y="114869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11" name="Shape 11"/>
          <xdr:cNvSpPr/>
        </xdr:nvSpPr>
        <xdr:spPr>
          <a:xfrm>
            <a:off x="1163613" y="3926025"/>
            <a:ext cx="432900" cy="251025"/>
          </a:xfrm>
          <a:custGeom>
            <a:rect b="b" l="l" r="r" t="t"/>
            <a:pathLst>
              <a:path extrusionOk="0" h="10041" w="17316">
                <a:moveTo>
                  <a:pt x="2053" y="0"/>
                </a:moveTo>
                <a:cubicBezTo>
                  <a:pt x="1328" y="2905"/>
                  <a:pt x="-893" y="6159"/>
                  <a:pt x="447" y="8836"/>
                </a:cubicBezTo>
                <a:cubicBezTo>
                  <a:pt x="1228" y="10397"/>
                  <a:pt x="3940" y="8991"/>
                  <a:pt x="5668" y="9238"/>
                </a:cubicBezTo>
                <a:cubicBezTo>
                  <a:pt x="9521" y="9789"/>
                  <a:pt x="13424" y="10041"/>
                  <a:pt x="17316" y="10041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12" name="Shape 12"/>
          <xdr:cNvSpPr/>
        </xdr:nvSpPr>
        <xdr:spPr>
          <a:xfrm>
            <a:off x="2108600" y="2729016"/>
            <a:ext cx="391600" cy="52325"/>
          </a:xfrm>
          <a:custGeom>
            <a:rect b="b" l="l" r="r" t="t"/>
            <a:pathLst>
              <a:path extrusionOk="0" h="2093" w="15664">
                <a:moveTo>
                  <a:pt x="15664" y="85"/>
                </a:moveTo>
                <a:cubicBezTo>
                  <a:pt x="10400" y="85"/>
                  <a:pt x="4711" y="-256"/>
                  <a:pt x="0" y="2093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13" name="Shape 13"/>
          <xdr:cNvSpPr/>
        </xdr:nvSpPr>
        <xdr:spPr>
          <a:xfrm>
            <a:off x="2289350" y="2439950"/>
            <a:ext cx="80325" cy="532175"/>
          </a:xfrm>
          <a:custGeom>
            <a:rect b="b" l="l" r="r" t="t"/>
            <a:pathLst>
              <a:path extrusionOk="0" h="21287" w="3213">
                <a:moveTo>
                  <a:pt x="0" y="0"/>
                </a:moveTo>
                <a:cubicBezTo>
                  <a:pt x="891" y="7121"/>
                  <a:pt x="3213" y="14111"/>
                  <a:pt x="3213" y="21287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14" name="Shape 14"/>
          <xdr:cNvSpPr/>
        </xdr:nvSpPr>
        <xdr:spPr>
          <a:xfrm>
            <a:off x="2098575" y="2436966"/>
            <a:ext cx="420625" cy="519950"/>
          </a:xfrm>
          <a:custGeom>
            <a:rect b="b" l="l" r="r" t="t"/>
            <a:pathLst>
              <a:path extrusionOk="0" h="20798" w="16825">
                <a:moveTo>
                  <a:pt x="401" y="13374"/>
                </a:moveTo>
                <a:cubicBezTo>
                  <a:pt x="1207" y="9347"/>
                  <a:pt x="1514" y="4630"/>
                  <a:pt x="4418" y="1726"/>
                </a:cubicBezTo>
                <a:cubicBezTo>
                  <a:pt x="6981" y="-837"/>
                  <a:pt x="13088" y="-371"/>
                  <a:pt x="15262" y="2529"/>
                </a:cubicBezTo>
                <a:cubicBezTo>
                  <a:pt x="19098" y="7645"/>
                  <a:pt x="15106" y="19348"/>
                  <a:pt x="8836" y="20603"/>
                </a:cubicBezTo>
                <a:cubicBezTo>
                  <a:pt x="4933" y="21384"/>
                  <a:pt x="1777" y="16132"/>
                  <a:pt x="0" y="12570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</xdr:grpSp>
    <xdr:clientData fLocksWithSheet="0"/>
  </xdr:oneCellAnchor>
  <xdr:oneCellAnchor>
    <xdr:from>
      <xdr:col>13</xdr:col>
      <xdr:colOff>352425</xdr:colOff>
      <xdr:row>55</xdr:row>
      <xdr:rowOff>47625</xdr:rowOff>
    </xdr:from>
    <xdr:ext cx="1724025" cy="5114925"/>
    <xdr:grpSp>
      <xdr:nvGrpSpPr>
        <xdr:cNvPr id="2" name="Shape 2" title="Drawing"/>
        <xdr:cNvGrpSpPr/>
      </xdr:nvGrpSpPr>
      <xdr:grpSpPr>
        <a:xfrm>
          <a:off x="763270" y="863525"/>
          <a:ext cx="1707755" cy="4679100"/>
          <a:chOff x="763270" y="863525"/>
          <a:chExt cx="1707755" cy="4679100"/>
        </a:xfrm>
      </xdr:grpSpPr>
      <xdr:sp>
        <xdr:nvSpPr>
          <xdr:cNvPr id="15" name="Shape 15"/>
          <xdr:cNvSpPr/>
        </xdr:nvSpPr>
        <xdr:spPr>
          <a:xfrm>
            <a:off x="833400" y="863525"/>
            <a:ext cx="1322425" cy="4488325"/>
          </a:xfrm>
          <a:custGeom>
            <a:rect b="b" l="l" r="r" t="t"/>
            <a:pathLst>
              <a:path extrusionOk="0" h="179533" w="52897">
                <a:moveTo>
                  <a:pt x="1607" y="0"/>
                </a:moveTo>
                <a:cubicBezTo>
                  <a:pt x="9610" y="7204"/>
                  <a:pt x="20449" y="11468"/>
                  <a:pt x="26910" y="20082"/>
                </a:cubicBezTo>
                <a:cubicBezTo>
                  <a:pt x="37873" y="34698"/>
                  <a:pt x="46221" y="51969"/>
                  <a:pt x="49803" y="69885"/>
                </a:cubicBezTo>
                <a:cubicBezTo>
                  <a:pt x="51180" y="76774"/>
                  <a:pt x="53608" y="83817"/>
                  <a:pt x="52615" y="90771"/>
                </a:cubicBezTo>
                <a:cubicBezTo>
                  <a:pt x="49609" y="111821"/>
                  <a:pt x="38065" y="131305"/>
                  <a:pt x="25705" y="148607"/>
                </a:cubicBezTo>
                <a:cubicBezTo>
                  <a:pt x="17913" y="159515"/>
                  <a:pt x="13405" y="179533"/>
                  <a:pt x="0" y="179533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16" name="Shape 16"/>
          <xdr:cNvSpPr/>
        </xdr:nvSpPr>
        <xdr:spPr>
          <a:xfrm>
            <a:off x="763270" y="5020500"/>
            <a:ext cx="220750" cy="301225"/>
          </a:xfrm>
          <a:custGeom>
            <a:rect b="b" l="l" r="r" t="t"/>
            <a:pathLst>
              <a:path extrusionOk="0" h="12049" w="8830">
                <a:moveTo>
                  <a:pt x="8830" y="0"/>
                </a:moveTo>
                <a:cubicBezTo>
                  <a:pt x="5767" y="3828"/>
                  <a:pt x="-1795" y="7663"/>
                  <a:pt x="395" y="12049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17" name="Shape 17"/>
          <xdr:cNvSpPr/>
        </xdr:nvSpPr>
        <xdr:spPr>
          <a:xfrm>
            <a:off x="783200" y="5331775"/>
            <a:ext cx="351425" cy="210850"/>
          </a:xfrm>
          <a:custGeom>
            <a:rect b="b" l="l" r="r" t="t"/>
            <a:pathLst>
              <a:path extrusionOk="0" h="8434" w="14057">
                <a:moveTo>
                  <a:pt x="0" y="0"/>
                </a:moveTo>
                <a:cubicBezTo>
                  <a:pt x="4887" y="2444"/>
                  <a:pt x="9168" y="5993"/>
                  <a:pt x="14057" y="8434"/>
                </a:cubicBezTo>
              </a:path>
            </a:pathLst>
          </a:custGeom>
          <a:noFill/>
          <a:ln cap="flat" cmpd="sng" w="762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18" name="Shape 18"/>
          <xdr:cNvSpPr/>
        </xdr:nvSpPr>
        <xdr:spPr>
          <a:xfrm>
            <a:off x="1777250" y="2931975"/>
            <a:ext cx="632600" cy="120500"/>
          </a:xfrm>
          <a:custGeom>
            <a:rect b="b" l="l" r="r" t="t"/>
            <a:pathLst>
              <a:path extrusionOk="0" h="4820" w="25304">
                <a:moveTo>
                  <a:pt x="25304" y="0"/>
                </a:moveTo>
                <a:cubicBezTo>
                  <a:pt x="17623" y="3838"/>
                  <a:pt x="8586" y="4820"/>
                  <a:pt x="0" y="4820"/>
                </a:cubicBezTo>
              </a:path>
            </a:pathLst>
          </a:custGeom>
          <a:noFill/>
          <a:ln cap="flat" cmpd="sng" w="762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19" name="Shape 19"/>
          <xdr:cNvSpPr/>
        </xdr:nvSpPr>
        <xdr:spPr>
          <a:xfrm>
            <a:off x="1988125" y="2690975"/>
            <a:ext cx="251025" cy="682800"/>
          </a:xfrm>
          <a:custGeom>
            <a:rect b="b" l="l" r="r" t="t"/>
            <a:pathLst>
              <a:path extrusionOk="0" h="27312" w="10041">
                <a:moveTo>
                  <a:pt x="0" y="0"/>
                </a:moveTo>
                <a:cubicBezTo>
                  <a:pt x="3954" y="0"/>
                  <a:pt x="4537" y="6642"/>
                  <a:pt x="5623" y="10443"/>
                </a:cubicBezTo>
                <a:cubicBezTo>
                  <a:pt x="7220" y="16032"/>
                  <a:pt x="10041" y="21499"/>
                  <a:pt x="10041" y="27312"/>
                </a:cubicBezTo>
              </a:path>
            </a:pathLst>
          </a:custGeom>
          <a:noFill/>
          <a:ln cap="flat" cmpd="sng" w="762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20" name="Shape 20"/>
          <xdr:cNvSpPr/>
        </xdr:nvSpPr>
        <xdr:spPr>
          <a:xfrm>
            <a:off x="1807375" y="2527688"/>
            <a:ext cx="663650" cy="938700"/>
          </a:xfrm>
          <a:custGeom>
            <a:rect b="b" l="l" r="r" t="t"/>
            <a:pathLst>
              <a:path extrusionOk="0" h="37548" w="26546">
                <a:moveTo>
                  <a:pt x="2008" y="22597"/>
                </a:moveTo>
                <a:cubicBezTo>
                  <a:pt x="2008" y="14279"/>
                  <a:pt x="8743" y="6326"/>
                  <a:pt x="15664" y="1712"/>
                </a:cubicBezTo>
                <a:cubicBezTo>
                  <a:pt x="17150" y="721"/>
                  <a:pt x="19622" y="-756"/>
                  <a:pt x="20885" y="507"/>
                </a:cubicBezTo>
                <a:cubicBezTo>
                  <a:pt x="28459" y="8081"/>
                  <a:pt x="28257" y="24505"/>
                  <a:pt x="21287" y="32638"/>
                </a:cubicBezTo>
                <a:cubicBezTo>
                  <a:pt x="19869" y="34293"/>
                  <a:pt x="19019" y="37817"/>
                  <a:pt x="16869" y="37458"/>
                </a:cubicBezTo>
                <a:cubicBezTo>
                  <a:pt x="8346" y="36036"/>
                  <a:pt x="7726" y="21645"/>
                  <a:pt x="0" y="17777"/>
                </a:cubicBezTo>
              </a:path>
            </a:pathLst>
          </a:custGeom>
          <a:noFill/>
          <a:ln cap="flat" cmpd="sng" w="762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352425</xdr:colOff>
      <xdr:row>34</xdr:row>
      <xdr:rowOff>180975</xdr:rowOff>
    </xdr:from>
    <xdr:ext cx="1495425" cy="2695575"/>
    <xdr:grpSp>
      <xdr:nvGrpSpPr>
        <xdr:cNvPr id="2" name="Shape 2" title="Drawing"/>
        <xdr:cNvGrpSpPr/>
      </xdr:nvGrpSpPr>
      <xdr:grpSpPr>
        <a:xfrm>
          <a:off x="1909973" y="989160"/>
          <a:ext cx="1301321" cy="2695890"/>
          <a:chOff x="1909973" y="989160"/>
          <a:chExt cx="1301321" cy="2695890"/>
        </a:xfrm>
      </xdr:grpSpPr>
      <xdr:sp>
        <xdr:nvSpPr>
          <xdr:cNvPr id="3" name="Shape 3"/>
          <xdr:cNvSpPr/>
        </xdr:nvSpPr>
        <xdr:spPr>
          <a:xfrm>
            <a:off x="1968025" y="989160"/>
            <a:ext cx="952525" cy="2505100"/>
          </a:xfrm>
          <a:custGeom>
            <a:rect b="b" l="l" r="r" t="t"/>
            <a:pathLst>
              <a:path extrusionOk="0" h="100204" w="38101">
                <a:moveTo>
                  <a:pt x="804" y="196"/>
                </a:moveTo>
                <a:cubicBezTo>
                  <a:pt x="13914" y="-1113"/>
                  <a:pt x="32126" y="6004"/>
                  <a:pt x="35746" y="18672"/>
                </a:cubicBezTo>
                <a:cubicBezTo>
                  <a:pt x="43900" y="47205"/>
                  <a:pt x="29675" y="100205"/>
                  <a:pt x="0" y="100205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4" name="Shape 4"/>
          <xdr:cNvSpPr/>
        </xdr:nvSpPr>
        <xdr:spPr>
          <a:xfrm>
            <a:off x="1909973" y="3092625"/>
            <a:ext cx="309075" cy="592425"/>
          </a:xfrm>
          <a:custGeom>
            <a:rect b="b" l="l" r="r" t="t"/>
            <a:pathLst>
              <a:path extrusionOk="0" h="23697" w="12363">
                <a:moveTo>
                  <a:pt x="4732" y="0"/>
                </a:moveTo>
                <a:cubicBezTo>
                  <a:pt x="3503" y="6154"/>
                  <a:pt x="-2366" y="13255"/>
                  <a:pt x="1117" y="18475"/>
                </a:cubicBezTo>
                <a:cubicBezTo>
                  <a:pt x="3411" y="21913"/>
                  <a:pt x="8667" y="21847"/>
                  <a:pt x="12363" y="23697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5" name="Shape 5"/>
          <xdr:cNvSpPr/>
        </xdr:nvSpPr>
        <xdr:spPr>
          <a:xfrm>
            <a:off x="2711075" y="2068450"/>
            <a:ext cx="451850" cy="50200"/>
          </a:xfrm>
          <a:custGeom>
            <a:rect b="b" l="l" r="r" t="t"/>
            <a:pathLst>
              <a:path extrusionOk="0" h="2008" w="18074">
                <a:moveTo>
                  <a:pt x="18074" y="0"/>
                </a:moveTo>
                <a:cubicBezTo>
                  <a:pt x="12012" y="0"/>
                  <a:pt x="6062" y="2008"/>
                  <a:pt x="0" y="2008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6" name="Shape 6"/>
          <xdr:cNvSpPr/>
        </xdr:nvSpPr>
        <xdr:spPr>
          <a:xfrm>
            <a:off x="2891800" y="1887700"/>
            <a:ext cx="70300" cy="401650"/>
          </a:xfrm>
          <a:custGeom>
            <a:rect b="b" l="l" r="r" t="t"/>
            <a:pathLst>
              <a:path extrusionOk="0" h="16066" w="2812">
                <a:moveTo>
                  <a:pt x="0" y="0"/>
                </a:moveTo>
                <a:cubicBezTo>
                  <a:pt x="0" y="5437"/>
                  <a:pt x="378" y="11204"/>
                  <a:pt x="2812" y="16066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7" name="Shape 7"/>
          <xdr:cNvSpPr/>
        </xdr:nvSpPr>
        <xdr:spPr>
          <a:xfrm>
            <a:off x="2603269" y="1814687"/>
            <a:ext cx="608025" cy="659350"/>
          </a:xfrm>
          <a:custGeom>
            <a:rect b="b" l="l" r="r" t="t"/>
            <a:pathLst>
              <a:path extrusionOk="0" h="26374" w="24321">
                <a:moveTo>
                  <a:pt x="295" y="10552"/>
                </a:moveTo>
                <a:cubicBezTo>
                  <a:pt x="1958" y="6398"/>
                  <a:pt x="4342" y="-766"/>
                  <a:pt x="8730" y="110"/>
                </a:cubicBezTo>
                <a:cubicBezTo>
                  <a:pt x="16871" y="1736"/>
                  <a:pt x="26008" y="11737"/>
                  <a:pt x="23992" y="19790"/>
                </a:cubicBezTo>
                <a:cubicBezTo>
                  <a:pt x="23342" y="22387"/>
                  <a:pt x="21823" y="25838"/>
                  <a:pt x="19172" y="26216"/>
                </a:cubicBezTo>
                <a:cubicBezTo>
                  <a:pt x="14717" y="26852"/>
                  <a:pt x="11125" y="22090"/>
                  <a:pt x="7525" y="19389"/>
                </a:cubicBezTo>
                <a:cubicBezTo>
                  <a:pt x="4563" y="17166"/>
                  <a:pt x="-1359" y="14267"/>
                  <a:pt x="295" y="10954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</xdr:grpSp>
    <xdr:clientData fLocksWithSheet="0"/>
  </xdr:oneCellAnchor>
  <xdr:oneCellAnchor>
    <xdr:from>
      <xdr:col>13</xdr:col>
      <xdr:colOff>361950</xdr:colOff>
      <xdr:row>88</xdr:row>
      <xdr:rowOff>28575</xdr:rowOff>
    </xdr:from>
    <xdr:ext cx="1476375" cy="2171700"/>
    <xdr:grpSp>
      <xdr:nvGrpSpPr>
        <xdr:cNvPr id="2" name="Shape 2" title="Drawing"/>
        <xdr:cNvGrpSpPr/>
      </xdr:nvGrpSpPr>
      <xdr:grpSpPr>
        <a:xfrm>
          <a:off x="1315375" y="1204925"/>
          <a:ext cx="1455950" cy="2596925"/>
          <a:chOff x="1315375" y="1204925"/>
          <a:chExt cx="1455950" cy="2596925"/>
        </a:xfrm>
      </xdr:grpSpPr>
      <xdr:sp>
        <xdr:nvSpPr>
          <xdr:cNvPr id="8" name="Shape 8"/>
          <xdr:cNvSpPr/>
        </xdr:nvSpPr>
        <xdr:spPr>
          <a:xfrm>
            <a:off x="1315375" y="1204925"/>
            <a:ext cx="1174425" cy="2580525"/>
          </a:xfrm>
          <a:custGeom>
            <a:rect b="b" l="l" r="r" t="t"/>
            <a:pathLst>
              <a:path extrusionOk="0" h="103221" w="46977">
                <a:moveTo>
                  <a:pt x="0" y="0"/>
                </a:moveTo>
                <a:cubicBezTo>
                  <a:pt x="12698" y="0"/>
                  <a:pt x="27811" y="5297"/>
                  <a:pt x="34541" y="16065"/>
                </a:cubicBezTo>
                <a:cubicBezTo>
                  <a:pt x="50084" y="40936"/>
                  <a:pt x="46590" y="73893"/>
                  <a:pt x="46590" y="103221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9" name="Shape 9"/>
          <xdr:cNvSpPr/>
        </xdr:nvSpPr>
        <xdr:spPr>
          <a:xfrm>
            <a:off x="2168850" y="3474175"/>
            <a:ext cx="602475" cy="327675"/>
          </a:xfrm>
          <a:custGeom>
            <a:rect b="b" l="l" r="r" t="t"/>
            <a:pathLst>
              <a:path extrusionOk="0" h="13107" w="24099">
                <a:moveTo>
                  <a:pt x="0" y="0"/>
                </a:moveTo>
                <a:cubicBezTo>
                  <a:pt x="3467" y="4162"/>
                  <a:pt x="5935" y="9447"/>
                  <a:pt x="10443" y="12451"/>
                </a:cubicBezTo>
                <a:cubicBezTo>
                  <a:pt x="15280" y="15674"/>
                  <a:pt x="19986" y="5715"/>
                  <a:pt x="24099" y="1607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</xdr:grpSp>
    <xdr:clientData fLocksWithSheet="0"/>
  </xdr:oneCellAnchor>
  <xdr:oneCellAnchor>
    <xdr:from>
      <xdr:col>13</xdr:col>
      <xdr:colOff>361950</xdr:colOff>
      <xdr:row>110</xdr:row>
      <xdr:rowOff>114300</xdr:rowOff>
    </xdr:from>
    <xdr:ext cx="1552575" cy="4029075"/>
    <xdr:grpSp>
      <xdr:nvGrpSpPr>
        <xdr:cNvPr id="2" name="Shape 2" title="Drawing"/>
        <xdr:cNvGrpSpPr/>
      </xdr:nvGrpSpPr>
      <xdr:grpSpPr>
        <a:xfrm>
          <a:off x="1154725" y="1204925"/>
          <a:ext cx="1364475" cy="2972125"/>
          <a:chOff x="1154725" y="1204925"/>
          <a:chExt cx="1364475" cy="2972125"/>
        </a:xfrm>
      </xdr:grpSpPr>
      <xdr:sp>
        <xdr:nvSpPr>
          <xdr:cNvPr id="10" name="Shape 10"/>
          <xdr:cNvSpPr/>
        </xdr:nvSpPr>
        <xdr:spPr>
          <a:xfrm>
            <a:off x="1154725" y="1204925"/>
            <a:ext cx="1208450" cy="2871725"/>
          </a:xfrm>
          <a:custGeom>
            <a:rect b="b" l="l" r="r" t="t"/>
            <a:pathLst>
              <a:path extrusionOk="0" h="114869" w="48338">
                <a:moveTo>
                  <a:pt x="0" y="0"/>
                </a:moveTo>
                <a:cubicBezTo>
                  <a:pt x="17668" y="7065"/>
                  <a:pt x="31611" y="23374"/>
                  <a:pt x="40565" y="40164"/>
                </a:cubicBezTo>
                <a:cubicBezTo>
                  <a:pt x="44590" y="47711"/>
                  <a:pt x="48764" y="56129"/>
                  <a:pt x="48196" y="64664"/>
                </a:cubicBezTo>
                <a:cubicBezTo>
                  <a:pt x="46680" y="87444"/>
                  <a:pt x="22021" y="104649"/>
                  <a:pt x="1606" y="114869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11" name="Shape 11"/>
          <xdr:cNvSpPr/>
        </xdr:nvSpPr>
        <xdr:spPr>
          <a:xfrm>
            <a:off x="1163613" y="3926025"/>
            <a:ext cx="432900" cy="251025"/>
          </a:xfrm>
          <a:custGeom>
            <a:rect b="b" l="l" r="r" t="t"/>
            <a:pathLst>
              <a:path extrusionOk="0" h="10041" w="17316">
                <a:moveTo>
                  <a:pt x="2053" y="0"/>
                </a:moveTo>
                <a:cubicBezTo>
                  <a:pt x="1328" y="2905"/>
                  <a:pt x="-893" y="6159"/>
                  <a:pt x="447" y="8836"/>
                </a:cubicBezTo>
                <a:cubicBezTo>
                  <a:pt x="1228" y="10397"/>
                  <a:pt x="3940" y="8991"/>
                  <a:pt x="5668" y="9238"/>
                </a:cubicBezTo>
                <a:cubicBezTo>
                  <a:pt x="9521" y="9789"/>
                  <a:pt x="13424" y="10041"/>
                  <a:pt x="17316" y="10041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12" name="Shape 12"/>
          <xdr:cNvSpPr/>
        </xdr:nvSpPr>
        <xdr:spPr>
          <a:xfrm>
            <a:off x="2108600" y="2729016"/>
            <a:ext cx="391600" cy="52325"/>
          </a:xfrm>
          <a:custGeom>
            <a:rect b="b" l="l" r="r" t="t"/>
            <a:pathLst>
              <a:path extrusionOk="0" h="2093" w="15664">
                <a:moveTo>
                  <a:pt x="15664" y="85"/>
                </a:moveTo>
                <a:cubicBezTo>
                  <a:pt x="10400" y="85"/>
                  <a:pt x="4711" y="-256"/>
                  <a:pt x="0" y="2093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13" name="Shape 13"/>
          <xdr:cNvSpPr/>
        </xdr:nvSpPr>
        <xdr:spPr>
          <a:xfrm>
            <a:off x="2289350" y="2439950"/>
            <a:ext cx="80325" cy="532175"/>
          </a:xfrm>
          <a:custGeom>
            <a:rect b="b" l="l" r="r" t="t"/>
            <a:pathLst>
              <a:path extrusionOk="0" h="21287" w="3213">
                <a:moveTo>
                  <a:pt x="0" y="0"/>
                </a:moveTo>
                <a:cubicBezTo>
                  <a:pt x="891" y="7121"/>
                  <a:pt x="3213" y="14111"/>
                  <a:pt x="3213" y="21287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14" name="Shape 14"/>
          <xdr:cNvSpPr/>
        </xdr:nvSpPr>
        <xdr:spPr>
          <a:xfrm>
            <a:off x="2098575" y="2436966"/>
            <a:ext cx="420625" cy="519950"/>
          </a:xfrm>
          <a:custGeom>
            <a:rect b="b" l="l" r="r" t="t"/>
            <a:pathLst>
              <a:path extrusionOk="0" h="20798" w="16825">
                <a:moveTo>
                  <a:pt x="401" y="13374"/>
                </a:moveTo>
                <a:cubicBezTo>
                  <a:pt x="1207" y="9347"/>
                  <a:pt x="1514" y="4630"/>
                  <a:pt x="4418" y="1726"/>
                </a:cubicBezTo>
                <a:cubicBezTo>
                  <a:pt x="6981" y="-837"/>
                  <a:pt x="13088" y="-371"/>
                  <a:pt x="15262" y="2529"/>
                </a:cubicBezTo>
                <a:cubicBezTo>
                  <a:pt x="19098" y="7645"/>
                  <a:pt x="15106" y="19348"/>
                  <a:pt x="8836" y="20603"/>
                </a:cubicBezTo>
                <a:cubicBezTo>
                  <a:pt x="4933" y="21384"/>
                  <a:pt x="1777" y="16132"/>
                  <a:pt x="0" y="12570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</xdr:grpSp>
    <xdr:clientData fLocksWithSheet="0"/>
  </xdr:oneCellAnchor>
  <xdr:oneCellAnchor>
    <xdr:from>
      <xdr:col>13</xdr:col>
      <xdr:colOff>361950</xdr:colOff>
      <xdr:row>56</xdr:row>
      <xdr:rowOff>28575</xdr:rowOff>
    </xdr:from>
    <xdr:ext cx="1552575" cy="5038725"/>
    <xdr:grpSp>
      <xdr:nvGrpSpPr>
        <xdr:cNvPr id="2" name="Shape 2" title="Drawing"/>
        <xdr:cNvGrpSpPr/>
      </xdr:nvGrpSpPr>
      <xdr:grpSpPr>
        <a:xfrm>
          <a:off x="833400" y="873575"/>
          <a:ext cx="1537112" cy="4423825"/>
          <a:chOff x="833400" y="873575"/>
          <a:chExt cx="1537112" cy="4423825"/>
        </a:xfrm>
      </xdr:grpSpPr>
      <xdr:sp>
        <xdr:nvSpPr>
          <xdr:cNvPr id="21" name="Shape 21"/>
          <xdr:cNvSpPr/>
        </xdr:nvSpPr>
        <xdr:spPr>
          <a:xfrm>
            <a:off x="833400" y="873575"/>
            <a:ext cx="1268350" cy="4307575"/>
          </a:xfrm>
          <a:custGeom>
            <a:rect b="b" l="l" r="r" t="t"/>
            <a:pathLst>
              <a:path extrusionOk="0" h="172303" w="50734">
                <a:moveTo>
                  <a:pt x="0" y="0"/>
                </a:moveTo>
                <a:cubicBezTo>
                  <a:pt x="18789" y="0"/>
                  <a:pt x="40647" y="13904"/>
                  <a:pt x="46590" y="31729"/>
                </a:cubicBezTo>
                <a:cubicBezTo>
                  <a:pt x="52986" y="50911"/>
                  <a:pt x="50657" y="72361"/>
                  <a:pt x="47795" y="92377"/>
                </a:cubicBezTo>
                <a:cubicBezTo>
                  <a:pt x="45238" y="110265"/>
                  <a:pt x="45900" y="129284"/>
                  <a:pt x="38558" y="145795"/>
                </a:cubicBezTo>
                <a:cubicBezTo>
                  <a:pt x="33124" y="158016"/>
                  <a:pt x="20401" y="166327"/>
                  <a:pt x="8435" y="172303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22" name="Shape 22"/>
          <xdr:cNvSpPr/>
        </xdr:nvSpPr>
        <xdr:spPr>
          <a:xfrm>
            <a:off x="992142" y="4970300"/>
            <a:ext cx="92275" cy="292150"/>
          </a:xfrm>
          <a:custGeom>
            <a:rect b="b" l="l" r="r" t="t"/>
            <a:pathLst>
              <a:path extrusionOk="0" h="11686" w="3691">
                <a:moveTo>
                  <a:pt x="3691" y="0"/>
                </a:moveTo>
                <a:cubicBezTo>
                  <a:pt x="2951" y="3697"/>
                  <a:pt x="-1210" y="14215"/>
                  <a:pt x="478" y="10844"/>
                </a:cubicBezTo>
              </a:path>
            </a:pathLst>
          </a:custGeom>
          <a:noFill/>
          <a:ln cap="flat" cmpd="sng" w="762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23" name="Shape 23"/>
          <xdr:cNvSpPr/>
        </xdr:nvSpPr>
        <xdr:spPr>
          <a:xfrm>
            <a:off x="973975" y="5261475"/>
            <a:ext cx="421725" cy="35925"/>
          </a:xfrm>
          <a:custGeom>
            <a:rect b="b" l="l" r="r" t="t"/>
            <a:pathLst>
              <a:path extrusionOk="0" h="1437" w="16869">
                <a:moveTo>
                  <a:pt x="16869" y="804"/>
                </a:moveTo>
                <a:cubicBezTo>
                  <a:pt x="11528" y="2584"/>
                  <a:pt x="5629" y="0"/>
                  <a:pt x="0" y="0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24" name="Shape 24"/>
          <xdr:cNvSpPr/>
        </xdr:nvSpPr>
        <xdr:spPr>
          <a:xfrm>
            <a:off x="1837500" y="2875465"/>
            <a:ext cx="532175" cy="66525"/>
          </a:xfrm>
          <a:custGeom>
            <a:rect b="b" l="l" r="r" t="t"/>
            <a:pathLst>
              <a:path extrusionOk="0" h="2661" w="21287">
                <a:moveTo>
                  <a:pt x="0" y="2661"/>
                </a:moveTo>
                <a:cubicBezTo>
                  <a:pt x="6270" y="-758"/>
                  <a:pt x="14146" y="252"/>
                  <a:pt x="21287" y="252"/>
                </a:cubicBezTo>
              </a:path>
            </a:pathLst>
          </a:custGeom>
          <a:noFill/>
          <a:ln cap="flat" cmpd="sng" w="762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25" name="Shape 25"/>
          <xdr:cNvSpPr/>
        </xdr:nvSpPr>
        <xdr:spPr>
          <a:xfrm>
            <a:off x="1978075" y="2510250"/>
            <a:ext cx="80325" cy="612500"/>
          </a:xfrm>
          <a:custGeom>
            <a:rect b="b" l="l" r="r" t="t"/>
            <a:pathLst>
              <a:path extrusionOk="0" h="24500" w="3213">
                <a:moveTo>
                  <a:pt x="0" y="0"/>
                </a:moveTo>
                <a:cubicBezTo>
                  <a:pt x="2604" y="7814"/>
                  <a:pt x="-467" y="17131"/>
                  <a:pt x="3213" y="24500"/>
                </a:cubicBezTo>
              </a:path>
            </a:pathLst>
          </a:custGeom>
          <a:noFill/>
          <a:ln cap="flat" cmpd="sng" w="762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26" name="Shape 26"/>
          <xdr:cNvSpPr/>
        </xdr:nvSpPr>
        <xdr:spPr>
          <a:xfrm>
            <a:off x="1752987" y="2369754"/>
            <a:ext cx="617525" cy="984075"/>
          </a:xfrm>
          <a:custGeom>
            <a:rect b="b" l="l" r="r" t="t"/>
            <a:pathLst>
              <a:path extrusionOk="0" h="39363" w="24701">
                <a:moveTo>
                  <a:pt x="3381" y="12849"/>
                </a:moveTo>
                <a:cubicBezTo>
                  <a:pt x="4513" y="8318"/>
                  <a:pt x="5630" y="2488"/>
                  <a:pt x="9807" y="399"/>
                </a:cubicBezTo>
                <a:cubicBezTo>
                  <a:pt x="12231" y="-814"/>
                  <a:pt x="15521" y="1293"/>
                  <a:pt x="17438" y="3210"/>
                </a:cubicBezTo>
                <a:cubicBezTo>
                  <a:pt x="25864" y="11636"/>
                  <a:pt x="28342" y="35189"/>
                  <a:pt x="17037" y="38956"/>
                </a:cubicBezTo>
                <a:cubicBezTo>
                  <a:pt x="9493" y="41470"/>
                  <a:pt x="1729" y="29884"/>
                  <a:pt x="168" y="22087"/>
                </a:cubicBezTo>
                <a:cubicBezTo>
                  <a:pt x="-502" y="18740"/>
                  <a:pt x="3059" y="15902"/>
                  <a:pt x="4586" y="12849"/>
                </a:cubicBezTo>
              </a:path>
            </a:pathLst>
          </a:custGeom>
          <a:noFill/>
          <a:ln cap="flat" cmpd="sng" w="762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</xdr:grp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4.88"/>
  </cols>
  <sheetData>
    <row r="1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0</v>
      </c>
    </row>
    <row r="3"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B4" s="4" t="s">
        <v>1</v>
      </c>
      <c r="C4" s="5">
        <f t="shared" ref="C4:G4" si="1">rand()</f>
        <v>0.6416516483</v>
      </c>
      <c r="D4" s="6">
        <f t="shared" si="1"/>
        <v>0.8613909724</v>
      </c>
      <c r="E4" s="6">
        <f t="shared" si="1"/>
        <v>0.5696023225</v>
      </c>
      <c r="F4" s="6">
        <f t="shared" si="1"/>
        <v>0.4627944718</v>
      </c>
      <c r="G4" s="7">
        <f t="shared" si="1"/>
        <v>0.07003453864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B5" s="1"/>
      <c r="C5" s="8">
        <f t="shared" ref="C5:G5" si="2">rand()</f>
        <v>0.3928154873</v>
      </c>
      <c r="D5" s="9">
        <f t="shared" si="2"/>
        <v>0.04245684529</v>
      </c>
      <c r="E5" s="9">
        <f t="shared" si="2"/>
        <v>0.7134198723</v>
      </c>
      <c r="F5" s="9">
        <f t="shared" si="2"/>
        <v>0.1624793058</v>
      </c>
      <c r="G5" s="10">
        <f t="shared" si="2"/>
        <v>0.9310929358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B6" s="1"/>
      <c r="C6" s="8">
        <f t="shared" ref="C6:G6" si="3">rand()</f>
        <v>0.7313401616</v>
      </c>
      <c r="D6" s="9">
        <f t="shared" si="3"/>
        <v>0.3390023096</v>
      </c>
      <c r="E6" s="9">
        <f t="shared" si="3"/>
        <v>0.7243467338</v>
      </c>
      <c r="F6" s="9">
        <f t="shared" si="3"/>
        <v>0.1771889537</v>
      </c>
      <c r="G6" s="10">
        <f t="shared" si="3"/>
        <v>0.2039272033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B7" s="1"/>
      <c r="C7" s="8">
        <f t="shared" ref="C7:G7" si="4">rand()</f>
        <v>0.9946169796</v>
      </c>
      <c r="D7" s="9">
        <f t="shared" si="4"/>
        <v>0.1738364329</v>
      </c>
      <c r="E7" s="9">
        <f t="shared" si="4"/>
        <v>0.314029008</v>
      </c>
      <c r="F7" s="9">
        <f t="shared" si="4"/>
        <v>0.7855821328</v>
      </c>
      <c r="G7" s="10">
        <f t="shared" si="4"/>
        <v>0.4254305605</v>
      </c>
      <c r="H7" s="2"/>
      <c r="I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B8" s="1"/>
      <c r="C8" s="11">
        <f t="shared" ref="C8:G8" si="5">rand()</f>
        <v>0.6218902106</v>
      </c>
      <c r="D8" s="12">
        <f t="shared" si="5"/>
        <v>0.2771846179</v>
      </c>
      <c r="E8" s="12">
        <f t="shared" si="5"/>
        <v>0.5781063227</v>
      </c>
      <c r="F8" s="12">
        <f t="shared" si="5"/>
        <v>0.750076573</v>
      </c>
      <c r="G8" s="13">
        <f t="shared" si="5"/>
        <v>0.545659528</v>
      </c>
      <c r="H8" s="2"/>
      <c r="I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B9" s="1"/>
      <c r="C9" s="2"/>
      <c r="D9" s="2"/>
      <c r="E9" s="14" t="s">
        <v>2</v>
      </c>
      <c r="F9" s="2"/>
      <c r="G9" s="2"/>
      <c r="H9" s="2"/>
      <c r="I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B10" s="4" t="s">
        <v>3</v>
      </c>
      <c r="C10" s="15"/>
      <c r="D10" s="16"/>
      <c r="E10" s="16"/>
      <c r="F10" s="16"/>
      <c r="G10" s="17"/>
      <c r="H10" s="2"/>
      <c r="I10" s="4" t="s">
        <v>4</v>
      </c>
      <c r="J10" s="5">
        <f t="shared" ref="J10:N10" si="6">rand()</f>
        <v>0.6752139539</v>
      </c>
      <c r="K10" s="6">
        <f t="shared" si="6"/>
        <v>0.8338342878</v>
      </c>
      <c r="L10" s="6">
        <f t="shared" si="6"/>
        <v>0.3559847774</v>
      </c>
      <c r="M10" s="6">
        <f t="shared" si="6"/>
        <v>0.801978736</v>
      </c>
      <c r="N10" s="7">
        <f t="shared" si="6"/>
        <v>0.1592670451</v>
      </c>
      <c r="P10" s="2"/>
      <c r="Q10" s="2"/>
      <c r="R10" s="2"/>
      <c r="Y10" s="2"/>
      <c r="Z10" s="2"/>
    </row>
    <row r="11">
      <c r="B11" s="1"/>
      <c r="C11" s="18"/>
      <c r="D11" s="2"/>
      <c r="E11" s="2"/>
      <c r="F11" s="2"/>
      <c r="G11" s="19"/>
      <c r="H11" s="2"/>
      <c r="I11" s="1"/>
      <c r="J11" s="8">
        <f t="shared" ref="J11:N11" si="7">rand()</f>
        <v>0.2992072381</v>
      </c>
      <c r="K11" s="9">
        <f t="shared" si="7"/>
        <v>0.2624617876</v>
      </c>
      <c r="L11" s="9">
        <f t="shared" si="7"/>
        <v>0.2537519363</v>
      </c>
      <c r="M11" s="9">
        <f t="shared" si="7"/>
        <v>0.3771807291</v>
      </c>
      <c r="N11" s="10">
        <f t="shared" si="7"/>
        <v>0.9254291614</v>
      </c>
      <c r="P11" s="2"/>
      <c r="Q11" s="2"/>
      <c r="R11" s="2"/>
      <c r="Y11" s="2"/>
      <c r="Z11" s="2"/>
    </row>
    <row r="12">
      <c r="B12" s="1"/>
      <c r="C12" s="18"/>
      <c r="D12" s="2"/>
      <c r="E12" s="2"/>
      <c r="F12" s="2"/>
      <c r="G12" s="19"/>
      <c r="H12" s="20" t="s">
        <v>5</v>
      </c>
      <c r="I12" s="20" t="s">
        <v>5</v>
      </c>
      <c r="J12" s="8">
        <f t="shared" ref="J12:N12" si="8">rand()</f>
        <v>0.05492782497</v>
      </c>
      <c r="K12" s="9">
        <f t="shared" si="8"/>
        <v>0.3442126594</v>
      </c>
      <c r="L12" s="9">
        <f t="shared" si="8"/>
        <v>0.1758224782</v>
      </c>
      <c r="M12" s="9">
        <f t="shared" si="8"/>
        <v>0.6075180626</v>
      </c>
      <c r="N12" s="10">
        <f t="shared" si="8"/>
        <v>0.9904490297</v>
      </c>
      <c r="P12" s="2"/>
      <c r="Q12" s="2"/>
      <c r="R12" s="2"/>
      <c r="Y12" s="2"/>
      <c r="Z12" s="2"/>
    </row>
    <row r="13">
      <c r="B13" s="1"/>
      <c r="C13" s="18"/>
      <c r="D13" s="2"/>
      <c r="E13" s="2"/>
      <c r="F13" s="2"/>
      <c r="G13" s="19"/>
      <c r="H13" s="2"/>
      <c r="I13" s="1"/>
      <c r="J13" s="8">
        <f t="shared" ref="J13:N13" si="9">rand()</f>
        <v>0.1094854974</v>
      </c>
      <c r="K13" s="9">
        <f t="shared" si="9"/>
        <v>0.1177644601</v>
      </c>
      <c r="L13" s="9">
        <f t="shared" si="9"/>
        <v>0.7518003719</v>
      </c>
      <c r="M13" s="9">
        <f t="shared" si="9"/>
        <v>0.7885191789</v>
      </c>
      <c r="N13" s="10">
        <f t="shared" si="9"/>
        <v>0.5590706876</v>
      </c>
      <c r="P13" s="2"/>
      <c r="Q13" s="2"/>
      <c r="R13" s="2"/>
      <c r="Y13" s="2"/>
      <c r="Z13" s="2"/>
    </row>
    <row r="14">
      <c r="B14" s="1"/>
      <c r="C14" s="21"/>
      <c r="D14" s="22"/>
      <c r="E14" s="22"/>
      <c r="F14" s="22"/>
      <c r="G14" s="23"/>
      <c r="H14" s="2"/>
      <c r="I14" s="1"/>
      <c r="J14" s="11">
        <f t="shared" ref="J14:N14" si="10">rand()</f>
        <v>0.3404689944</v>
      </c>
      <c r="K14" s="12">
        <f t="shared" si="10"/>
        <v>0.3775192861</v>
      </c>
      <c r="L14" s="12">
        <f t="shared" si="10"/>
        <v>0.932799303</v>
      </c>
      <c r="M14" s="12">
        <f t="shared" si="10"/>
        <v>0.7318485734</v>
      </c>
      <c r="N14" s="13">
        <f t="shared" si="10"/>
        <v>0.6117062736</v>
      </c>
      <c r="P14" s="2"/>
      <c r="Q14" s="2"/>
      <c r="R14" s="2"/>
      <c r="Y14" s="2"/>
      <c r="Z14" s="2"/>
    </row>
    <row r="15">
      <c r="B15" s="1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6</v>
      </c>
    </row>
    <row r="17">
      <c r="B17" s="1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B18" s="4" t="s">
        <v>1</v>
      </c>
      <c r="C18" s="5">
        <f t="shared" ref="C18:G18" si="11">rand()</f>
        <v>0.4772210501</v>
      </c>
      <c r="D18" s="6">
        <f t="shared" si="11"/>
        <v>0.4254969264</v>
      </c>
      <c r="E18" s="6">
        <f t="shared" si="11"/>
        <v>0.4403351683</v>
      </c>
      <c r="F18" s="6">
        <f t="shared" si="11"/>
        <v>0.2736976715</v>
      </c>
      <c r="G18" s="7">
        <f t="shared" si="11"/>
        <v>0.7055396581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B19" s="1"/>
      <c r="C19" s="8">
        <f t="shared" ref="C19:G19" si="12">rand()</f>
        <v>0.4185130595</v>
      </c>
      <c r="D19" s="9">
        <f t="shared" si="12"/>
        <v>0.8776938752</v>
      </c>
      <c r="E19" s="9">
        <f t="shared" si="12"/>
        <v>0.1453714994</v>
      </c>
      <c r="F19" s="9">
        <f t="shared" si="12"/>
        <v>0.243011491</v>
      </c>
      <c r="G19" s="10">
        <f t="shared" si="12"/>
        <v>0.9554465755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B20" s="1"/>
      <c r="C20" s="8">
        <f t="shared" ref="C20:G20" si="13">rand()</f>
        <v>0.5847299977</v>
      </c>
      <c r="D20" s="9">
        <f t="shared" si="13"/>
        <v>0.07468912901</v>
      </c>
      <c r="E20" s="9">
        <f t="shared" si="13"/>
        <v>0.2425794383</v>
      </c>
      <c r="F20" s="9">
        <f t="shared" si="13"/>
        <v>0.7423279237</v>
      </c>
      <c r="G20" s="10">
        <f t="shared" si="13"/>
        <v>0.4878439655</v>
      </c>
      <c r="H20" s="2"/>
      <c r="I20" s="2"/>
      <c r="J20" s="2"/>
      <c r="K20" s="2"/>
      <c r="L20" s="2"/>
      <c r="M20" s="2"/>
      <c r="N20" s="2"/>
      <c r="O20" s="2"/>
      <c r="P20" s="2"/>
      <c r="W20" s="2"/>
      <c r="X20" s="2"/>
      <c r="Y20" s="2"/>
      <c r="Z20" s="2"/>
    </row>
    <row r="21">
      <c r="B21" s="1"/>
      <c r="C21" s="8">
        <f t="shared" ref="C21:G21" si="14">rand()</f>
        <v>0.05152667766</v>
      </c>
      <c r="D21" s="9">
        <f t="shared" si="14"/>
        <v>0.8969693325</v>
      </c>
      <c r="E21" s="9">
        <f t="shared" si="14"/>
        <v>0.162626051</v>
      </c>
      <c r="F21" s="9">
        <f t="shared" si="14"/>
        <v>0.9642299655</v>
      </c>
      <c r="G21" s="10">
        <f t="shared" si="14"/>
        <v>0.03033218048</v>
      </c>
      <c r="H21" s="2"/>
      <c r="I21" s="2"/>
      <c r="W21" s="2"/>
      <c r="X21" s="2"/>
      <c r="Y21" s="2"/>
      <c r="Z21" s="2"/>
    </row>
    <row r="22">
      <c r="B22" s="1"/>
      <c r="C22" s="11">
        <f t="shared" ref="C22:G22" si="15">rand()</f>
        <v>0.1875091188</v>
      </c>
      <c r="D22" s="12">
        <f t="shared" si="15"/>
        <v>0.523249869</v>
      </c>
      <c r="E22" s="12">
        <f t="shared" si="15"/>
        <v>0.1900481824</v>
      </c>
      <c r="F22" s="12">
        <f t="shared" si="15"/>
        <v>0.2281088115</v>
      </c>
      <c r="G22" s="13">
        <f t="shared" si="15"/>
        <v>0.7553967051</v>
      </c>
      <c r="H22" s="2"/>
      <c r="I22" s="2"/>
      <c r="W22" s="2"/>
      <c r="X22" s="2"/>
      <c r="Y22" s="2"/>
      <c r="Z22" s="2"/>
    </row>
    <row r="23">
      <c r="B23" s="1"/>
      <c r="C23" s="2"/>
      <c r="D23" s="2"/>
      <c r="E23" s="14" t="s">
        <v>2</v>
      </c>
      <c r="F23" s="2"/>
      <c r="G23" s="2"/>
      <c r="H23" s="2"/>
      <c r="I23" s="2"/>
      <c r="W23" s="2"/>
      <c r="X23" s="2"/>
      <c r="Y23" s="2"/>
      <c r="Z23" s="2"/>
    </row>
    <row r="24">
      <c r="B24" s="4" t="s">
        <v>3</v>
      </c>
      <c r="C24" s="24"/>
      <c r="D24" s="25"/>
      <c r="E24" s="25"/>
      <c r="F24" s="25"/>
      <c r="G24" s="26"/>
      <c r="H24" s="2"/>
      <c r="I24" s="4" t="s">
        <v>4</v>
      </c>
      <c r="J24" s="5">
        <f t="shared" ref="J24:N24" si="16">rand()</f>
        <v>0.4623771681</v>
      </c>
      <c r="K24" s="6">
        <f t="shared" si="16"/>
        <v>0.322962841</v>
      </c>
      <c r="L24" s="6">
        <f t="shared" si="16"/>
        <v>0.6967585642</v>
      </c>
      <c r="M24" s="6">
        <f t="shared" si="16"/>
        <v>0.3321662643</v>
      </c>
      <c r="N24" s="7">
        <f t="shared" si="16"/>
        <v>0.3298841688</v>
      </c>
      <c r="W24" s="2"/>
      <c r="X24" s="2"/>
      <c r="Y24" s="2"/>
      <c r="Z24" s="2"/>
    </row>
    <row r="25">
      <c r="B25" s="1"/>
      <c r="C25" s="27"/>
      <c r="D25" s="28"/>
      <c r="E25" s="28"/>
      <c r="F25" s="28"/>
      <c r="G25" s="29"/>
      <c r="H25" s="2"/>
      <c r="I25" s="1"/>
      <c r="J25" s="8">
        <f t="shared" ref="J25:N25" si="17">rand()</f>
        <v>0.1303792205</v>
      </c>
      <c r="K25" s="9">
        <f t="shared" si="17"/>
        <v>0.2415135168</v>
      </c>
      <c r="L25" s="9">
        <f t="shared" si="17"/>
        <v>0.2287405749</v>
      </c>
      <c r="M25" s="9">
        <f t="shared" si="17"/>
        <v>0.7875454444</v>
      </c>
      <c r="N25" s="10">
        <f t="shared" si="17"/>
        <v>0.3017836684</v>
      </c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B26" s="1"/>
      <c r="C26" s="27"/>
      <c r="D26" s="28"/>
      <c r="E26" s="28"/>
      <c r="F26" s="28"/>
      <c r="G26" s="29"/>
      <c r="H26" s="30" t="s">
        <v>5</v>
      </c>
      <c r="I26" s="30" t="s">
        <v>5</v>
      </c>
      <c r="J26" s="8">
        <f t="shared" ref="J26:N26" si="18">rand()</f>
        <v>0.1889105751</v>
      </c>
      <c r="K26" s="9">
        <f t="shared" si="18"/>
        <v>0.3722077894</v>
      </c>
      <c r="L26" s="9">
        <f t="shared" si="18"/>
        <v>0.1601591455</v>
      </c>
      <c r="M26" s="9">
        <f t="shared" si="18"/>
        <v>0.5990825674</v>
      </c>
      <c r="N26" s="10">
        <f t="shared" si="18"/>
        <v>0.1261239386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B27" s="1"/>
      <c r="C27" s="27"/>
      <c r="D27" s="28"/>
      <c r="E27" s="28"/>
      <c r="F27" s="28"/>
      <c r="G27" s="29"/>
      <c r="H27" s="2"/>
      <c r="I27" s="1"/>
      <c r="J27" s="8">
        <f t="shared" ref="J27:N27" si="19">rand()</f>
        <v>0.6293338033</v>
      </c>
      <c r="K27" s="9">
        <f t="shared" si="19"/>
        <v>0.0487612882</v>
      </c>
      <c r="L27" s="9">
        <f t="shared" si="19"/>
        <v>0.4387949818</v>
      </c>
      <c r="M27" s="9">
        <f t="shared" si="19"/>
        <v>0.6247883444</v>
      </c>
      <c r="N27" s="10">
        <f t="shared" si="19"/>
        <v>0.1276399615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B28" s="1"/>
      <c r="C28" s="31"/>
      <c r="D28" s="32"/>
      <c r="E28" s="32"/>
      <c r="F28" s="32"/>
      <c r="G28" s="33"/>
      <c r="H28" s="2"/>
      <c r="I28" s="1"/>
      <c r="J28" s="11">
        <f t="shared" ref="J28:N28" si="20">rand()</f>
        <v>0.6649200454</v>
      </c>
      <c r="K28" s="12">
        <f t="shared" si="20"/>
        <v>0.7065792801</v>
      </c>
      <c r="L28" s="12">
        <f t="shared" si="20"/>
        <v>0.3930299831</v>
      </c>
      <c r="M28" s="12">
        <f t="shared" si="20"/>
        <v>0.7573007084</v>
      </c>
      <c r="N28" s="13">
        <f t="shared" si="20"/>
        <v>0.6510117891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B29" s="1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B30" s="1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3" t="s">
        <v>7</v>
      </c>
    </row>
    <row r="32">
      <c r="B32" s="1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B33" s="1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I34" s="4" t="s">
        <v>8</v>
      </c>
      <c r="J34" s="34">
        <f t="shared" ref="J34:N34" si="21">rand()</f>
        <v>0.9509452038</v>
      </c>
      <c r="K34" s="25">
        <f t="shared" si="21"/>
        <v>0.4078990191</v>
      </c>
      <c r="L34" s="25">
        <f t="shared" si="21"/>
        <v>0.04962900616</v>
      </c>
      <c r="M34" s="25">
        <f t="shared" si="21"/>
        <v>0.5863774205</v>
      </c>
      <c r="N34" s="26">
        <f t="shared" si="21"/>
        <v>0.2052936969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I35" s="1"/>
      <c r="J35" s="27">
        <f t="shared" ref="J35:N35" si="22">rand()</f>
        <v>0.1468136251</v>
      </c>
      <c r="K35" s="28">
        <f t="shared" si="22"/>
        <v>0.640084808</v>
      </c>
      <c r="L35" s="28">
        <f t="shared" si="22"/>
        <v>0.3452973317</v>
      </c>
      <c r="M35" s="28">
        <f t="shared" si="22"/>
        <v>0.06138974974</v>
      </c>
      <c r="N35" s="29">
        <f t="shared" si="22"/>
        <v>0.02065283301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I36" s="1"/>
      <c r="J36" s="27">
        <f t="shared" ref="J36:N36" si="23">rand()</f>
        <v>0.744412848</v>
      </c>
      <c r="K36" s="28">
        <f t="shared" si="23"/>
        <v>0.2500032218</v>
      </c>
      <c r="L36" s="28">
        <f t="shared" si="23"/>
        <v>0.6472405503</v>
      </c>
      <c r="M36" s="28">
        <f t="shared" si="23"/>
        <v>0.1121525036</v>
      </c>
      <c r="N36" s="29">
        <f t="shared" si="23"/>
        <v>0.2830915849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I37" s="1"/>
      <c r="J37" s="27">
        <f t="shared" ref="J37:N37" si="24">rand()</f>
        <v>0.9428174872</v>
      </c>
      <c r="K37" s="28">
        <f t="shared" si="24"/>
        <v>0.1386291318</v>
      </c>
      <c r="L37" s="28">
        <f t="shared" si="24"/>
        <v>0.1063294673</v>
      </c>
      <c r="M37" s="28">
        <f t="shared" si="24"/>
        <v>0.4411811713</v>
      </c>
      <c r="N37" s="29">
        <f t="shared" si="24"/>
        <v>0.4688515061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I38" s="1"/>
      <c r="J38" s="31">
        <f t="shared" ref="J38:N38" si="25">rand()</f>
        <v>0.05270886354</v>
      </c>
      <c r="K38" s="32">
        <f t="shared" si="25"/>
        <v>0.6818118349</v>
      </c>
      <c r="L38" s="32">
        <f t="shared" si="25"/>
        <v>0.5399519819</v>
      </c>
      <c r="M38" s="32">
        <f t="shared" si="25"/>
        <v>0.2343919073</v>
      </c>
      <c r="N38" s="33">
        <f t="shared" si="25"/>
        <v>0.3679805813</v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B39" s="1"/>
      <c r="C39" s="2"/>
      <c r="D39" s="2"/>
      <c r="E39" s="14"/>
      <c r="F39" s="2"/>
      <c r="G39" s="2"/>
      <c r="H39" s="2"/>
      <c r="I39" s="2"/>
      <c r="J39" s="2"/>
      <c r="K39" s="2"/>
      <c r="L39" s="14" t="s">
        <v>2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B40" s="4" t="s">
        <v>9</v>
      </c>
      <c r="C40" s="34">
        <f t="shared" ref="C40:G40" si="26">rand()</f>
        <v>0.9513495474</v>
      </c>
      <c r="D40" s="25">
        <f t="shared" si="26"/>
        <v>0.2856840917</v>
      </c>
      <c r="E40" s="25">
        <f t="shared" si="26"/>
        <v>0.337786895</v>
      </c>
      <c r="F40" s="25">
        <f t="shared" si="26"/>
        <v>0.8028530211</v>
      </c>
      <c r="G40" s="26">
        <f t="shared" si="26"/>
        <v>0.487408169</v>
      </c>
      <c r="H40" s="2"/>
      <c r="I40" s="4" t="s">
        <v>10</v>
      </c>
      <c r="J40" s="5"/>
      <c r="K40" s="6"/>
      <c r="L40" s="6"/>
      <c r="M40" s="6"/>
      <c r="N40" s="7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B41" s="4" t="s">
        <v>11</v>
      </c>
      <c r="C41" s="27">
        <f t="shared" ref="C41:G41" si="27">rand()</f>
        <v>0.6557699167</v>
      </c>
      <c r="D41" s="28">
        <f t="shared" si="27"/>
        <v>0.7055195188</v>
      </c>
      <c r="E41" s="28">
        <f t="shared" si="27"/>
        <v>0.4768352861</v>
      </c>
      <c r="F41" s="28">
        <f t="shared" si="27"/>
        <v>0.3755212021</v>
      </c>
      <c r="G41" s="29">
        <f t="shared" si="27"/>
        <v>0.7411361059</v>
      </c>
      <c r="H41" s="2"/>
      <c r="I41" s="1"/>
      <c r="J41" s="8"/>
      <c r="K41" s="9"/>
      <c r="L41" s="9"/>
      <c r="M41" s="9"/>
      <c r="N41" s="10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B42" s="1"/>
      <c r="C42" s="27">
        <f t="shared" ref="C42:G42" si="28">rand()</f>
        <v>0.9947954084</v>
      </c>
      <c r="D42" s="28">
        <f t="shared" si="28"/>
        <v>0.5152058943</v>
      </c>
      <c r="E42" s="28">
        <f t="shared" si="28"/>
        <v>0.3765339233</v>
      </c>
      <c r="F42" s="28">
        <f t="shared" si="28"/>
        <v>0.9770202889</v>
      </c>
      <c r="G42" s="29">
        <f t="shared" si="28"/>
        <v>0.2187579197</v>
      </c>
      <c r="H42" s="14" t="s">
        <v>12</v>
      </c>
      <c r="I42" s="14" t="s">
        <v>12</v>
      </c>
      <c r="J42" s="8"/>
      <c r="K42" s="9"/>
      <c r="L42" s="9"/>
      <c r="M42" s="9"/>
      <c r="N42" s="10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B43" s="1"/>
      <c r="C43" s="27">
        <f t="shared" ref="C43:G43" si="29">rand()</f>
        <v>0.8387152106</v>
      </c>
      <c r="D43" s="28">
        <f t="shared" si="29"/>
        <v>0.3871186608</v>
      </c>
      <c r="E43" s="28">
        <f t="shared" si="29"/>
        <v>0.1097310715</v>
      </c>
      <c r="F43" s="28">
        <f t="shared" si="29"/>
        <v>0.2305334976</v>
      </c>
      <c r="G43" s="29">
        <f t="shared" si="29"/>
        <v>0.779534976</v>
      </c>
      <c r="H43" s="2"/>
      <c r="I43" s="1"/>
      <c r="J43" s="8"/>
      <c r="K43" s="9"/>
      <c r="L43" s="9"/>
      <c r="M43" s="9"/>
      <c r="N43" s="10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B44" s="1"/>
      <c r="C44" s="31">
        <f t="shared" ref="C44:G44" si="30">rand()</f>
        <v>0.6679271556</v>
      </c>
      <c r="D44" s="32">
        <f t="shared" si="30"/>
        <v>0.1466466118</v>
      </c>
      <c r="E44" s="32">
        <f t="shared" si="30"/>
        <v>0.4363232506</v>
      </c>
      <c r="F44" s="32">
        <f t="shared" si="30"/>
        <v>0.4594132202</v>
      </c>
      <c r="G44" s="33">
        <f t="shared" si="30"/>
        <v>0.211975754</v>
      </c>
      <c r="H44" s="2"/>
      <c r="I44" s="1"/>
      <c r="J44" s="11"/>
      <c r="K44" s="12"/>
      <c r="L44" s="12"/>
      <c r="M44" s="12"/>
      <c r="N44" s="13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B45" s="1"/>
      <c r="C45" s="2"/>
      <c r="D45" s="2"/>
      <c r="F45" s="2"/>
      <c r="G45" s="2"/>
      <c r="I45" s="1"/>
      <c r="J45" s="2"/>
      <c r="K45" s="2"/>
      <c r="L45" s="14" t="s">
        <v>2</v>
      </c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I46" s="4" t="s">
        <v>13</v>
      </c>
      <c r="J46" s="15"/>
      <c r="K46" s="16"/>
      <c r="L46" s="16"/>
      <c r="M46" s="16"/>
      <c r="N46" s="17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I47" s="1"/>
      <c r="J47" s="18"/>
      <c r="K47" s="2"/>
      <c r="L47" s="2"/>
      <c r="M47" s="2"/>
      <c r="N47" s="19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I48" s="1"/>
      <c r="J48" s="18"/>
      <c r="K48" s="2"/>
      <c r="L48" s="2"/>
      <c r="M48" s="2"/>
      <c r="N48" s="19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I49" s="1"/>
      <c r="J49" s="18"/>
      <c r="K49" s="2"/>
      <c r="L49" s="2"/>
      <c r="M49" s="2"/>
      <c r="N49" s="19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I50" s="1"/>
      <c r="J50" s="21"/>
      <c r="K50" s="22"/>
      <c r="L50" s="22"/>
      <c r="M50" s="22"/>
      <c r="N50" s="23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>
      <c r="A52" s="36" t="s">
        <v>14</v>
      </c>
    </row>
    <row r="53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>
      <c r="A54" s="35"/>
      <c r="B54" s="35"/>
      <c r="C54" s="35"/>
      <c r="D54" s="35"/>
      <c r="E54" s="35"/>
      <c r="F54" s="35"/>
      <c r="G54" s="35"/>
      <c r="H54" s="35"/>
      <c r="I54" s="37" t="s">
        <v>8</v>
      </c>
      <c r="J54" s="38">
        <f t="shared" ref="J54:N54" si="31">NORMINV(rand(),0, 1)</f>
        <v>0.1657430117</v>
      </c>
      <c r="K54" s="39">
        <f t="shared" si="31"/>
        <v>0.613097889</v>
      </c>
      <c r="L54" s="39">
        <f t="shared" si="31"/>
        <v>-0.8245363506</v>
      </c>
      <c r="M54" s="39">
        <f t="shared" si="31"/>
        <v>0.6064567635</v>
      </c>
      <c r="N54" s="40">
        <f t="shared" si="31"/>
        <v>-0.43324336</v>
      </c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>
      <c r="A55" s="35"/>
      <c r="B55" s="35"/>
      <c r="C55" s="35"/>
      <c r="D55" s="35"/>
      <c r="E55" s="35"/>
      <c r="F55" s="35"/>
      <c r="G55" s="35"/>
      <c r="H55" s="35"/>
      <c r="I55" s="35"/>
      <c r="J55" s="41">
        <f t="shared" ref="J55:N55" si="32">NORMINV(rand(),0, 1)</f>
        <v>-0.3744921911</v>
      </c>
      <c r="K55" s="42">
        <f t="shared" si="32"/>
        <v>0.4233367411</v>
      </c>
      <c r="L55" s="42">
        <f t="shared" si="32"/>
        <v>1.752854725</v>
      </c>
      <c r="M55" s="42">
        <f t="shared" si="32"/>
        <v>0.9166578695</v>
      </c>
      <c r="N55" s="43">
        <f t="shared" si="32"/>
        <v>1.495629959</v>
      </c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>
      <c r="A56" s="35"/>
      <c r="B56" s="35"/>
      <c r="C56" s="35"/>
      <c r="D56" s="35"/>
      <c r="E56" s="35"/>
      <c r="F56" s="35"/>
      <c r="G56" s="35"/>
      <c r="H56" s="35"/>
      <c r="I56" s="35"/>
      <c r="J56" s="41">
        <f t="shared" ref="J56:N56" si="33">NORMINV(rand(),0, 1)</f>
        <v>1.381972118</v>
      </c>
      <c r="K56" s="42">
        <f t="shared" si="33"/>
        <v>-0.6590912452</v>
      </c>
      <c r="L56" s="42">
        <f t="shared" si="33"/>
        <v>0.5592735316</v>
      </c>
      <c r="M56" s="42">
        <f t="shared" si="33"/>
        <v>-0.8763257762</v>
      </c>
      <c r="N56" s="43">
        <f t="shared" si="33"/>
        <v>-0.1926215786</v>
      </c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>
      <c r="A57" s="35"/>
      <c r="B57" s="35"/>
      <c r="C57" s="35"/>
      <c r="D57" s="35"/>
      <c r="E57" s="35"/>
      <c r="F57" s="35"/>
      <c r="G57" s="35"/>
      <c r="H57" s="35"/>
      <c r="I57" s="35"/>
      <c r="J57" s="41">
        <f t="shared" ref="J57:N57" si="34">NORMINV(rand(),0, 1)</f>
        <v>0.5644522637</v>
      </c>
      <c r="K57" s="42">
        <f t="shared" si="34"/>
        <v>-0.6971738976</v>
      </c>
      <c r="L57" s="42">
        <f t="shared" si="34"/>
        <v>-0.8437759929</v>
      </c>
      <c r="M57" s="42">
        <f t="shared" si="34"/>
        <v>1.404924171</v>
      </c>
      <c r="N57" s="43">
        <f t="shared" si="34"/>
        <v>0.7582781728</v>
      </c>
      <c r="O57" s="35"/>
      <c r="P57" s="44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>
      <c r="A58" s="35"/>
      <c r="B58" s="35"/>
      <c r="C58" s="35"/>
      <c r="D58" s="35"/>
      <c r="E58" s="35"/>
      <c r="F58" s="35"/>
      <c r="G58" s="35"/>
      <c r="H58" s="35"/>
      <c r="I58" s="35"/>
      <c r="J58" s="45">
        <f t="shared" ref="J58:N58" si="35">NORMINV(rand(),0, 1)</f>
        <v>-0.5463657538</v>
      </c>
      <c r="K58" s="46">
        <f t="shared" si="35"/>
        <v>0.1964718937</v>
      </c>
      <c r="L58" s="46">
        <f t="shared" si="35"/>
        <v>0.457280775</v>
      </c>
      <c r="M58" s="46">
        <f t="shared" si="35"/>
        <v>-1.02958472</v>
      </c>
      <c r="N58" s="47">
        <f t="shared" si="35"/>
        <v>0.3530985373</v>
      </c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48" t="s">
        <v>2</v>
      </c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>
      <c r="A60" s="35"/>
      <c r="B60" s="37" t="s">
        <v>9</v>
      </c>
      <c r="C60" s="38">
        <f t="shared" ref="C60:G60" si="36">NORMINV(rand(),0, 1)</f>
        <v>1.136562311</v>
      </c>
      <c r="D60" s="39">
        <f t="shared" si="36"/>
        <v>0.6286549006</v>
      </c>
      <c r="E60" s="39">
        <f t="shared" si="36"/>
        <v>1.139458818</v>
      </c>
      <c r="F60" s="39">
        <f t="shared" si="36"/>
        <v>-0.04924289788</v>
      </c>
      <c r="G60" s="40">
        <f t="shared" si="36"/>
        <v>1.227590381</v>
      </c>
      <c r="H60" s="35"/>
      <c r="I60" s="37" t="s">
        <v>10</v>
      </c>
      <c r="J60" s="49">
        <f t="array" ref="J60:N64">MMULT(J54:N58,C60:G64)</f>
        <v>-1.458642153</v>
      </c>
      <c r="K60" s="50">
        <v>-1.086797490385969</v>
      </c>
      <c r="L60" s="51">
        <v>-0.3247409069769058</v>
      </c>
      <c r="M60" s="52">
        <v>-0.13796998078410286</v>
      </c>
      <c r="N60" s="53">
        <v>-0.004945457510010187</v>
      </c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>
      <c r="A61" s="35"/>
      <c r="B61" s="37" t="s">
        <v>11</v>
      </c>
      <c r="C61" s="41">
        <f t="shared" ref="C61:G61" si="37">NORMINV(rand(),0, 1)</f>
        <v>-0.6606368874</v>
      </c>
      <c r="D61" s="42">
        <f t="shared" si="37"/>
        <v>-0.836384711</v>
      </c>
      <c r="E61" s="42">
        <f t="shared" si="37"/>
        <v>-0.02312177615</v>
      </c>
      <c r="F61" s="42">
        <f t="shared" si="37"/>
        <v>-0.4473469927</v>
      </c>
      <c r="G61" s="43">
        <f t="shared" si="37"/>
        <v>-1.804456568</v>
      </c>
      <c r="H61" s="35"/>
      <c r="I61" s="35"/>
      <c r="J61" s="54">
        <v>1.0818216202616782</v>
      </c>
      <c r="K61" s="55">
        <v>2.043027343917453</v>
      </c>
      <c r="L61" s="56">
        <v>1.212388516120903</v>
      </c>
      <c r="M61" s="57">
        <v>1.0932263613259576</v>
      </c>
      <c r="N61" s="58">
        <v>-2.383615307945621</v>
      </c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>
      <c r="A62" s="35"/>
      <c r="B62" s="35"/>
      <c r="C62" s="41">
        <f t="shared" ref="C62:G62" si="38">NORMINV(rand(),0, 1)</f>
        <v>1.142414498</v>
      </c>
      <c r="D62" s="42">
        <f t="shared" si="38"/>
        <v>0.8010912757</v>
      </c>
      <c r="E62" s="42">
        <f t="shared" si="38"/>
        <v>0.6983926523</v>
      </c>
      <c r="F62" s="42">
        <f t="shared" si="38"/>
        <v>0.01692362723</v>
      </c>
      <c r="G62" s="43">
        <f t="shared" si="38"/>
        <v>0.04706554584</v>
      </c>
      <c r="H62" s="48" t="s">
        <v>12</v>
      </c>
      <c r="I62" s="48" t="s">
        <v>12</v>
      </c>
      <c r="J62" s="59">
        <v>2.987919337238991</v>
      </c>
      <c r="K62" s="60">
        <v>1.4158319041229819</v>
      </c>
      <c r="L62" s="61">
        <v>1.752388898461758</v>
      </c>
      <c r="M62" s="62">
        <v>-0.3714551153465603</v>
      </c>
      <c r="N62" s="63">
        <v>2.5705730888500034</v>
      </c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>
      <c r="A63" s="35"/>
      <c r="B63" s="35"/>
      <c r="C63" s="41">
        <f t="shared" ref="C63:G63" si="39">NORMINV(rand(),0, 1)</f>
        <v>-0.4156089101</v>
      </c>
      <c r="D63" s="42">
        <f t="shared" si="39"/>
        <v>0.3877756738</v>
      </c>
      <c r="E63" s="42">
        <f t="shared" si="39"/>
        <v>0.2287372031</v>
      </c>
      <c r="F63" s="42">
        <f t="shared" si="39"/>
        <v>0.5917677404</v>
      </c>
      <c r="G63" s="43">
        <f t="shared" si="39"/>
        <v>0.6614631583</v>
      </c>
      <c r="H63" s="35"/>
      <c r="I63" s="35"/>
      <c r="J63" s="64">
        <v>-0.36176251126436104</v>
      </c>
      <c r="K63" s="65">
        <v>1.249347487008316</v>
      </c>
      <c r="L63" s="66">
        <v>0.5003861828392034</v>
      </c>
      <c r="M63" s="67">
        <v>1.4520591513568257</v>
      </c>
      <c r="N63" s="68">
        <v>1.903177832658872</v>
      </c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>
      <c r="A64" s="35"/>
      <c r="B64" s="35"/>
      <c r="C64" s="45">
        <f t="shared" ref="C64:G64" si="40">NORMINV(rand(),0, 1)</f>
        <v>0.1107304147</v>
      </c>
      <c r="D64" s="46">
        <f t="shared" si="40"/>
        <v>0.5836148287</v>
      </c>
      <c r="E64" s="46">
        <f t="shared" si="40"/>
        <v>0.1437792978</v>
      </c>
      <c r="F64" s="46">
        <f t="shared" si="40"/>
        <v>0.4627150441</v>
      </c>
      <c r="G64" s="47">
        <f t="shared" si="40"/>
        <v>-1.236157377</v>
      </c>
      <c r="H64" s="35"/>
      <c r="I64" s="35"/>
      <c r="J64" s="69">
        <v>0.23863221371245308</v>
      </c>
      <c r="K64" s="70">
        <v>-0.3346523234593203</v>
      </c>
      <c r="L64" s="71">
        <v>-0.4924785911163157</v>
      </c>
      <c r="M64" s="72">
        <v>-0.49913864660438645</v>
      </c>
      <c r="N64" s="73">
        <v>-2.1212338959627592</v>
      </c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48" t="s">
        <v>2</v>
      </c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>
      <c r="A66" s="35"/>
      <c r="B66" s="37" t="s">
        <v>15</v>
      </c>
      <c r="C66" s="74">
        <f t="shared" ref="C66:G66" si="41">NORMINV(rand(),0, 1)</f>
        <v>2.404055753</v>
      </c>
      <c r="D66" s="75">
        <f t="shared" si="41"/>
        <v>0.5724146306</v>
      </c>
      <c r="E66" s="76">
        <f t="shared" si="41"/>
        <v>-0.1011535608</v>
      </c>
      <c r="F66" s="77">
        <f t="shared" si="41"/>
        <v>-0.648998467</v>
      </c>
      <c r="G66" s="78">
        <f t="shared" si="41"/>
        <v>0.6404222321</v>
      </c>
      <c r="H66" s="35"/>
      <c r="I66" s="37" t="s">
        <v>16</v>
      </c>
      <c r="J66" s="79">
        <f t="array" ref="J66:N70">MMULT(J60:N64,C66:G70)</f>
        <v>-2.205365936</v>
      </c>
      <c r="K66" s="80">
        <v>-2.435618262509329</v>
      </c>
      <c r="L66" s="81">
        <v>-1.7930308265172015</v>
      </c>
      <c r="M66" s="80">
        <v>3.0179030899408703</v>
      </c>
      <c r="N66" s="82">
        <v>-3.0348863673374447</v>
      </c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>
      <c r="A67" s="35"/>
      <c r="B67" s="37" t="s">
        <v>11</v>
      </c>
      <c r="C67" s="83">
        <f t="shared" ref="C67:G67" si="42">NORMINV(rand(),0, 1)</f>
        <v>-0.8398238622</v>
      </c>
      <c r="D67" s="84">
        <f t="shared" si="42"/>
        <v>1.641891799</v>
      </c>
      <c r="E67" s="85">
        <f t="shared" si="42"/>
        <v>2.336663421</v>
      </c>
      <c r="F67" s="86">
        <f t="shared" si="42"/>
        <v>-1.488069726</v>
      </c>
      <c r="G67" s="87">
        <f t="shared" si="42"/>
        <v>1.707365635</v>
      </c>
      <c r="H67" s="35"/>
      <c r="I67" s="37" t="s">
        <v>17</v>
      </c>
      <c r="J67" s="88">
        <v>1.0164144900287264</v>
      </c>
      <c r="K67" s="89">
        <v>4.989287921183708</v>
      </c>
      <c r="L67" s="90">
        <v>0.2710433804591359</v>
      </c>
      <c r="M67" s="91">
        <v>-5.2876983740646</v>
      </c>
      <c r="N67" s="92">
        <v>6.154871997251142</v>
      </c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>
      <c r="A68" s="35"/>
      <c r="B68" s="35"/>
      <c r="C68" s="93">
        <f t="shared" ref="C68:G68" si="43">NORMINV(rand(),0, 1)</f>
        <v>-1.059000745</v>
      </c>
      <c r="D68" s="94">
        <f t="shared" si="43"/>
        <v>-0.1588867471</v>
      </c>
      <c r="E68" s="95">
        <f t="shared" si="43"/>
        <v>-1.802903389</v>
      </c>
      <c r="F68" s="96">
        <f t="shared" si="43"/>
        <v>-1.473261947</v>
      </c>
      <c r="G68" s="97">
        <f t="shared" si="43"/>
        <v>1.112331885</v>
      </c>
      <c r="H68" s="48" t="s">
        <v>12</v>
      </c>
      <c r="I68" s="48" t="s">
        <v>12</v>
      </c>
      <c r="J68" s="98">
        <v>2.371603187723219</v>
      </c>
      <c r="K68" s="99">
        <v>1.7070989753771708</v>
      </c>
      <c r="L68" s="100">
        <v>2.1237386095832993</v>
      </c>
      <c r="M68" s="101">
        <v>-6.743910038962744</v>
      </c>
      <c r="N68" s="102">
        <v>4.945076159913791</v>
      </c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>
      <c r="A69" s="35"/>
      <c r="B69" s="35"/>
      <c r="C69" s="103">
        <f t="shared" ref="C69:G69" si="44">NORMINV(rand(),0, 1)</f>
        <v>-0.2976026276</v>
      </c>
      <c r="D69" s="104">
        <f t="shared" si="44"/>
        <v>-0.9243551794</v>
      </c>
      <c r="E69" s="84">
        <f t="shared" si="44"/>
        <v>-0.1283958424</v>
      </c>
      <c r="F69" s="104">
        <f t="shared" si="44"/>
        <v>0.1776389802</v>
      </c>
      <c r="G69" s="105">
        <f t="shared" si="44"/>
        <v>-0.8182047553</v>
      </c>
      <c r="H69" s="35"/>
      <c r="I69" s="35"/>
      <c r="J69" s="59">
        <v>-4.270826872275814</v>
      </c>
      <c r="K69" s="106">
        <v>-1.3490659393234188</v>
      </c>
      <c r="L69" s="107">
        <v>3.5178574338737434</v>
      </c>
      <c r="M69" s="108">
        <v>-2.140746427474463</v>
      </c>
      <c r="N69" s="109">
        <v>0.05648682486393364</v>
      </c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>
      <c r="A70" s="35"/>
      <c r="B70" s="35"/>
      <c r="C70" s="110">
        <f t="shared" ref="C70:G70" si="45">NORMINV(rand(),0, 1)</f>
        <v>-0.7302795414</v>
      </c>
      <c r="D70" s="111">
        <f t="shared" si="45"/>
        <v>-0.9308420983</v>
      </c>
      <c r="E70" s="112">
        <f t="shared" si="45"/>
        <v>0.867257683</v>
      </c>
      <c r="F70" s="113">
        <f t="shared" si="45"/>
        <v>-0.0195231123</v>
      </c>
      <c r="G70" s="114">
        <f t="shared" si="45"/>
        <v>-0.6375858144</v>
      </c>
      <c r="H70" s="35"/>
      <c r="I70" s="35"/>
      <c r="J70" s="115">
        <v>3.0739080373708014</v>
      </c>
      <c r="K70" s="116">
        <v>2.101297190559283</v>
      </c>
      <c r="L70" s="117">
        <v>-1.6937860867872947</v>
      </c>
      <c r="M70" s="118">
        <v>1.021410625989976</v>
      </c>
      <c r="N70" s="119">
        <v>0.794518114300927</v>
      </c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48" t="s">
        <v>2</v>
      </c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>
      <c r="A72" s="35"/>
      <c r="B72" s="35"/>
      <c r="C72" s="35"/>
      <c r="D72" s="35"/>
      <c r="E72" s="35"/>
      <c r="F72" s="35"/>
      <c r="G72" s="35"/>
      <c r="H72" s="35"/>
      <c r="I72" s="120" t="s">
        <v>18</v>
      </c>
      <c r="J72" s="121">
        <f t="shared" ref="J72:N72" si="46">Max(0,J66)</f>
        <v>0</v>
      </c>
      <c r="K72" s="122">
        <f t="shared" si="46"/>
        <v>0</v>
      </c>
      <c r="L72" s="122">
        <f t="shared" si="46"/>
        <v>0</v>
      </c>
      <c r="M72" s="122">
        <f t="shared" si="46"/>
        <v>3.01790309</v>
      </c>
      <c r="N72" s="123">
        <f t="shared" si="46"/>
        <v>0</v>
      </c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>
      <c r="A73" s="35"/>
      <c r="B73" s="35"/>
      <c r="C73" s="35"/>
      <c r="D73" s="35"/>
      <c r="E73" s="35"/>
      <c r="F73" s="35"/>
      <c r="G73" s="35"/>
      <c r="H73" s="35"/>
      <c r="I73" s="35"/>
      <c r="J73" s="124">
        <f t="shared" ref="J73:N73" si="47">Max(0,J67)</f>
        <v>1.01641449</v>
      </c>
      <c r="K73" s="125">
        <f t="shared" si="47"/>
        <v>4.989287921</v>
      </c>
      <c r="L73" s="125">
        <f t="shared" si="47"/>
        <v>0.2710433805</v>
      </c>
      <c r="M73" s="125">
        <f t="shared" si="47"/>
        <v>0</v>
      </c>
      <c r="N73" s="126">
        <f t="shared" si="47"/>
        <v>6.154871997</v>
      </c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>
      <c r="A74" s="35"/>
      <c r="B74" s="35"/>
      <c r="C74" s="35"/>
      <c r="D74" s="35"/>
      <c r="E74" s="35"/>
      <c r="F74" s="35"/>
      <c r="G74" s="35"/>
      <c r="H74" s="35"/>
      <c r="I74" s="35"/>
      <c r="J74" s="124">
        <f t="shared" ref="J74:N74" si="48">Max(0,J68)</f>
        <v>2.371603188</v>
      </c>
      <c r="K74" s="125">
        <f t="shared" si="48"/>
        <v>1.707098975</v>
      </c>
      <c r="L74" s="125">
        <f t="shared" si="48"/>
        <v>2.12373861</v>
      </c>
      <c r="M74" s="125">
        <f t="shared" si="48"/>
        <v>0</v>
      </c>
      <c r="N74" s="126">
        <f t="shared" si="48"/>
        <v>4.94507616</v>
      </c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>
      <c r="A75" s="35"/>
      <c r="B75" s="35"/>
      <c r="C75" s="35"/>
      <c r="D75" s="35"/>
      <c r="E75" s="35"/>
      <c r="F75" s="35"/>
      <c r="G75" s="35"/>
      <c r="H75" s="35"/>
      <c r="I75" s="35"/>
      <c r="J75" s="124">
        <f t="shared" ref="J75:N75" si="49">Max(0,J69)</f>
        <v>0</v>
      </c>
      <c r="K75" s="125">
        <f t="shared" si="49"/>
        <v>0</v>
      </c>
      <c r="L75" s="125">
        <f t="shared" si="49"/>
        <v>3.517857434</v>
      </c>
      <c r="M75" s="125">
        <f t="shared" si="49"/>
        <v>0</v>
      </c>
      <c r="N75" s="126">
        <f t="shared" si="49"/>
        <v>0.05648682486</v>
      </c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>
      <c r="A76" s="35"/>
      <c r="B76" s="35"/>
      <c r="C76" s="35"/>
      <c r="D76" s="35"/>
      <c r="E76" s="35"/>
      <c r="F76" s="35"/>
      <c r="G76" s="35"/>
      <c r="H76" s="35"/>
      <c r="I76" s="35"/>
      <c r="J76" s="127">
        <f t="shared" ref="J76:N76" si="50">Max(0,J70)</f>
        <v>3.073908037</v>
      </c>
      <c r="K76" s="128">
        <f t="shared" si="50"/>
        <v>2.101297191</v>
      </c>
      <c r="L76" s="128">
        <f t="shared" si="50"/>
        <v>0</v>
      </c>
      <c r="M76" s="128">
        <f t="shared" si="50"/>
        <v>1.021410626</v>
      </c>
      <c r="N76" s="129">
        <f t="shared" si="50"/>
        <v>0.7945181143</v>
      </c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48" t="s">
        <v>2</v>
      </c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>
      <c r="A78" s="35"/>
      <c r="B78" s="35"/>
      <c r="C78" s="35"/>
      <c r="D78" s="35"/>
      <c r="E78" s="35"/>
      <c r="F78" s="35"/>
      <c r="G78" s="35"/>
      <c r="H78" s="35"/>
      <c r="I78" s="37" t="s">
        <v>13</v>
      </c>
      <c r="J78" s="121"/>
      <c r="K78" s="122"/>
      <c r="L78" s="122"/>
      <c r="M78" s="122"/>
      <c r="N78" s="123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>
      <c r="A79" s="35"/>
      <c r="B79" s="35"/>
      <c r="C79" s="35"/>
      <c r="D79" s="35"/>
      <c r="E79" s="35"/>
      <c r="F79" s="35"/>
      <c r="G79" s="35"/>
      <c r="H79" s="35"/>
      <c r="I79" s="35"/>
      <c r="J79" s="124"/>
      <c r="K79" s="125"/>
      <c r="L79" s="125"/>
      <c r="M79" s="125"/>
      <c r="N79" s="126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>
      <c r="A80" s="35"/>
      <c r="B80" s="35"/>
      <c r="C80" s="35"/>
      <c r="D80" s="35"/>
      <c r="E80" s="35"/>
      <c r="F80" s="35"/>
      <c r="G80" s="35"/>
      <c r="H80" s="35"/>
      <c r="I80" s="35"/>
      <c r="J80" s="124"/>
      <c r="K80" s="125"/>
      <c r="L80" s="125"/>
      <c r="M80" s="125"/>
      <c r="N80" s="126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>
      <c r="A81" s="35"/>
      <c r="B81" s="35"/>
      <c r="C81" s="35"/>
      <c r="D81" s="35"/>
      <c r="E81" s="35"/>
      <c r="F81" s="35"/>
      <c r="G81" s="35"/>
      <c r="H81" s="35"/>
      <c r="I81" s="35"/>
      <c r="J81" s="124"/>
      <c r="K81" s="125"/>
      <c r="L81" s="125"/>
      <c r="M81" s="125"/>
      <c r="N81" s="126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>
      <c r="A82" s="35"/>
      <c r="B82" s="35"/>
      <c r="C82" s="35"/>
      <c r="D82" s="35"/>
      <c r="E82" s="35"/>
      <c r="F82" s="35"/>
      <c r="G82" s="35"/>
      <c r="H82" s="35"/>
      <c r="I82" s="35"/>
      <c r="J82" s="127"/>
      <c r="K82" s="128"/>
      <c r="L82" s="128"/>
      <c r="M82" s="128"/>
      <c r="N82" s="129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3" t="s">
        <v>19</v>
      </c>
    </row>
    <row r="86">
      <c r="B86" s="1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B87" s="1"/>
      <c r="C87" s="2"/>
      <c r="D87" s="2"/>
      <c r="E87" s="2"/>
      <c r="F87" s="2"/>
      <c r="G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I88" s="4" t="s">
        <v>8</v>
      </c>
      <c r="J88" s="34">
        <f t="shared" ref="J88:N88" si="51">rand()</f>
        <v>0.1762892185</v>
      </c>
      <c r="K88" s="25">
        <f t="shared" si="51"/>
        <v>0.6681457312</v>
      </c>
      <c r="L88" s="25">
        <f t="shared" si="51"/>
        <v>0.5208054645</v>
      </c>
      <c r="M88" s="25">
        <f t="shared" si="51"/>
        <v>0.3579275766</v>
      </c>
      <c r="N88" s="26">
        <f t="shared" si="51"/>
        <v>0.6077207803</v>
      </c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I89" s="1"/>
      <c r="J89" s="27">
        <f t="shared" ref="J89:N89" si="52">rand()</f>
        <v>0.518739042</v>
      </c>
      <c r="K89" s="28">
        <f t="shared" si="52"/>
        <v>0.4561587738</v>
      </c>
      <c r="L89" s="28">
        <f t="shared" si="52"/>
        <v>0.319293348</v>
      </c>
      <c r="M89" s="28">
        <f t="shared" si="52"/>
        <v>0.1960151508</v>
      </c>
      <c r="N89" s="29">
        <f t="shared" si="52"/>
        <v>0.1493136856</v>
      </c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I90" s="1"/>
      <c r="J90" s="27">
        <f t="shared" ref="J90:N90" si="53">rand()</f>
        <v>0.04343455399</v>
      </c>
      <c r="K90" s="28">
        <f t="shared" si="53"/>
        <v>0.2728437458</v>
      </c>
      <c r="L90" s="28">
        <f t="shared" si="53"/>
        <v>0.1684533924</v>
      </c>
      <c r="M90" s="28">
        <f t="shared" si="53"/>
        <v>0.4050321738</v>
      </c>
      <c r="N90" s="29">
        <f t="shared" si="53"/>
        <v>0.1353443876</v>
      </c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I91" s="1"/>
      <c r="J91" s="27">
        <f t="shared" ref="J91:N91" si="54">rand()</f>
        <v>0.8910663687</v>
      </c>
      <c r="K91" s="28">
        <f t="shared" si="54"/>
        <v>0.3959895696</v>
      </c>
      <c r="L91" s="28">
        <f t="shared" si="54"/>
        <v>0.02481616529</v>
      </c>
      <c r="M91" s="28">
        <f t="shared" si="54"/>
        <v>0.4839074719</v>
      </c>
      <c r="N91" s="29">
        <f t="shared" si="54"/>
        <v>0.8621617375</v>
      </c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I92" s="1"/>
      <c r="J92" s="31">
        <f t="shared" ref="J92:N92" si="55">rand()</f>
        <v>0.1772026783</v>
      </c>
      <c r="K92" s="32">
        <f t="shared" si="55"/>
        <v>0.6507248837</v>
      </c>
      <c r="L92" s="32">
        <f t="shared" si="55"/>
        <v>0.219465617</v>
      </c>
      <c r="M92" s="32">
        <f t="shared" si="55"/>
        <v>0.7606215673</v>
      </c>
      <c r="N92" s="33">
        <f t="shared" si="55"/>
        <v>0.8301144775</v>
      </c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B93" s="1"/>
      <c r="C93" s="2"/>
      <c r="D93" s="2"/>
      <c r="E93" s="14"/>
      <c r="F93" s="2"/>
      <c r="G93" s="2"/>
      <c r="I93" s="2"/>
      <c r="J93" s="2"/>
      <c r="K93" s="2"/>
      <c r="L93" s="14" t="s">
        <v>2</v>
      </c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B94" s="4" t="s">
        <v>9</v>
      </c>
      <c r="C94" s="34">
        <f t="shared" ref="C94:G94" si="56">rand()</f>
        <v>0.00913198951</v>
      </c>
      <c r="D94" s="25">
        <f t="shared" si="56"/>
        <v>0.03237630331</v>
      </c>
      <c r="E94" s="25">
        <f t="shared" si="56"/>
        <v>0.6013603482</v>
      </c>
      <c r="F94" s="25">
        <f t="shared" si="56"/>
        <v>0.4194866954</v>
      </c>
      <c r="G94" s="26">
        <f t="shared" si="56"/>
        <v>0.9264805281</v>
      </c>
      <c r="I94" s="4" t="s">
        <v>10</v>
      </c>
      <c r="J94" s="5">
        <f t="array" ref="J94:N98">MMULT(J88:N92,C94:G98)</f>
        <v>1.163243261</v>
      </c>
      <c r="K94" s="6">
        <v>0.9920264330233659</v>
      </c>
      <c r="L94" s="6">
        <v>1.0915566745116807</v>
      </c>
      <c r="M94" s="6">
        <v>0.9956381340469406</v>
      </c>
      <c r="N94" s="7">
        <v>1.0004972827608838</v>
      </c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B95" s="4" t="s">
        <v>11</v>
      </c>
      <c r="C95" s="27">
        <f t="shared" ref="C95:G95" si="57">rand()</f>
        <v>0.6113930018</v>
      </c>
      <c r="D95" s="28">
        <f t="shared" si="57"/>
        <v>0.3562357052</v>
      </c>
      <c r="E95" s="28">
        <f t="shared" si="57"/>
        <v>0.9355514753</v>
      </c>
      <c r="F95" s="28">
        <f t="shared" si="57"/>
        <v>0.06987941391</v>
      </c>
      <c r="G95" s="29">
        <f t="shared" si="57"/>
        <v>0.405256089</v>
      </c>
      <c r="I95" s="1"/>
      <c r="J95" s="8">
        <v>0.617077613984275</v>
      </c>
      <c r="K95" s="9">
        <v>0.46023363450020655</v>
      </c>
      <c r="L95" s="9">
        <v>0.9220140063140373</v>
      </c>
      <c r="M95" s="9">
        <v>0.7000601392225599</v>
      </c>
      <c r="N95" s="10">
        <v>0.9351286945010222</v>
      </c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B96" s="1"/>
      <c r="C96" s="27">
        <f t="shared" ref="C96:G96" si="58">rand()</f>
        <v>0.7413101075</v>
      </c>
      <c r="D96" s="28">
        <f t="shared" si="58"/>
        <v>0.1306505235</v>
      </c>
      <c r="E96" s="28">
        <f t="shared" si="58"/>
        <v>0.03925830195</v>
      </c>
      <c r="F96" s="28">
        <f t="shared" si="58"/>
        <v>0.7750768442</v>
      </c>
      <c r="G96" s="29">
        <f t="shared" si="58"/>
        <v>0.4905390995</v>
      </c>
      <c r="H96" s="14" t="s">
        <v>12</v>
      </c>
      <c r="I96" s="14" t="s">
        <v>12</v>
      </c>
      <c r="J96" s="8">
        <v>0.393608392345761</v>
      </c>
      <c r="K96" s="9">
        <v>0.48910310403347523</v>
      </c>
      <c r="L96" s="9">
        <v>0.6262926974755949</v>
      </c>
      <c r="M96" s="9">
        <v>0.5356027269168806</v>
      </c>
      <c r="N96" s="10">
        <v>0.4130064290365503</v>
      </c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B97" s="1"/>
      <c r="C97" s="27">
        <f t="shared" ref="C97:G97" si="59">rand()</f>
        <v>0.06078514116</v>
      </c>
      <c r="D97" s="28">
        <f t="shared" si="59"/>
        <v>0.6670154006</v>
      </c>
      <c r="E97" s="28">
        <f t="shared" si="59"/>
        <v>0.8071366748</v>
      </c>
      <c r="F97" s="28">
        <f t="shared" si="59"/>
        <v>0.8077684782</v>
      </c>
      <c r="G97" s="29">
        <f t="shared" si="59"/>
        <v>0.3390995791</v>
      </c>
      <c r="I97" s="1"/>
      <c r="J97" s="8">
        <v>0.7879219628754455</v>
      </c>
      <c r="K97" s="9">
        <v>1.1222995075937003</v>
      </c>
      <c r="L97" s="9">
        <v>1.3703918706063658</v>
      </c>
      <c r="M97" s="9">
        <v>1.0700803744738139</v>
      </c>
      <c r="N97" s="10">
        <v>1.4312100027653734</v>
      </c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B98" s="1"/>
      <c r="C98" s="31">
        <f t="shared" ref="C98:G98" si="60">rand()</f>
        <v>0.5681864817</v>
      </c>
      <c r="D98" s="32">
        <f t="shared" si="60"/>
        <v>0.7265092389</v>
      </c>
      <c r="E98" s="32">
        <f t="shared" si="60"/>
        <v>0.08411131152</v>
      </c>
      <c r="F98" s="32">
        <f t="shared" si="60"/>
        <v>0.2998262629</v>
      </c>
      <c r="G98" s="33">
        <f t="shared" si="60"/>
        <v>0.3119032631</v>
      </c>
      <c r="I98" s="1"/>
      <c r="J98" s="11">
        <v>1.0800532468568937</v>
      </c>
      <c r="K98" s="12">
        <v>1.376654039852414</v>
      </c>
      <c r="L98" s="12">
        <v>1.407712716761749</v>
      </c>
      <c r="M98" s="12">
        <v>1.153205404751068</v>
      </c>
      <c r="N98" s="13">
        <v>1.0523833860607936</v>
      </c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B99" s="1"/>
      <c r="C99" s="2"/>
      <c r="D99" s="2"/>
      <c r="F99" s="2"/>
      <c r="G99" s="2"/>
      <c r="H99" s="2"/>
      <c r="I99" s="2"/>
      <c r="J99" s="2"/>
      <c r="K99" s="2"/>
      <c r="L99" s="14" t="s">
        <v>2</v>
      </c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H100" s="2"/>
      <c r="I100" s="4" t="s">
        <v>13</v>
      </c>
      <c r="J100" s="15"/>
      <c r="K100" s="16"/>
      <c r="L100" s="16"/>
      <c r="M100" s="16"/>
      <c r="N100" s="16"/>
      <c r="O100" s="16"/>
      <c r="P100" s="16"/>
      <c r="Q100" s="16"/>
      <c r="R100" s="16"/>
      <c r="S100" s="17"/>
      <c r="T100" s="2"/>
      <c r="U100" s="2"/>
      <c r="V100" s="2"/>
      <c r="W100" s="2"/>
      <c r="X100" s="2"/>
      <c r="Y100" s="2"/>
      <c r="Z100" s="2"/>
    </row>
    <row r="101">
      <c r="H101" s="2"/>
      <c r="I101" s="1"/>
      <c r="J101" s="18"/>
      <c r="K101" s="2"/>
      <c r="L101" s="2"/>
      <c r="M101" s="2"/>
      <c r="N101" s="2"/>
      <c r="O101" s="2"/>
      <c r="P101" s="2"/>
      <c r="Q101" s="2"/>
      <c r="R101" s="2"/>
      <c r="S101" s="19"/>
      <c r="T101" s="2"/>
      <c r="U101" s="2"/>
      <c r="V101" s="2"/>
      <c r="W101" s="2"/>
      <c r="X101" s="2"/>
      <c r="Y101" s="2"/>
      <c r="Z101" s="2"/>
    </row>
    <row r="102">
      <c r="H102" s="2"/>
      <c r="I102" s="1"/>
      <c r="J102" s="18"/>
      <c r="K102" s="2"/>
      <c r="L102" s="2"/>
      <c r="M102" s="2"/>
      <c r="N102" s="2"/>
      <c r="O102" s="2"/>
      <c r="P102" s="2"/>
      <c r="Q102" s="2"/>
      <c r="R102" s="2"/>
      <c r="S102" s="19"/>
      <c r="T102" s="2"/>
      <c r="U102" s="2"/>
      <c r="V102" s="2"/>
      <c r="W102" s="2"/>
      <c r="X102" s="2"/>
      <c r="Y102" s="2"/>
      <c r="Z102" s="2"/>
    </row>
    <row r="103">
      <c r="H103" s="2"/>
      <c r="I103" s="1"/>
      <c r="J103" s="18"/>
      <c r="K103" s="2"/>
      <c r="L103" s="2"/>
      <c r="M103" s="2"/>
      <c r="N103" s="2"/>
      <c r="O103" s="2"/>
      <c r="P103" s="2"/>
      <c r="Q103" s="2"/>
      <c r="R103" s="2"/>
      <c r="S103" s="19"/>
      <c r="T103" s="2"/>
      <c r="U103" s="2"/>
      <c r="V103" s="2"/>
      <c r="W103" s="2"/>
      <c r="X103" s="2"/>
      <c r="Y103" s="2"/>
      <c r="Z103" s="2"/>
    </row>
    <row r="104">
      <c r="H104" s="2"/>
      <c r="I104" s="1"/>
      <c r="J104" s="21"/>
      <c r="K104" s="22"/>
      <c r="L104" s="22"/>
      <c r="M104" s="22"/>
      <c r="N104" s="22"/>
      <c r="O104" s="22"/>
      <c r="P104" s="22"/>
      <c r="Q104" s="22"/>
      <c r="R104" s="22"/>
      <c r="S104" s="23"/>
      <c r="T104" s="2"/>
      <c r="U104" s="2"/>
      <c r="V104" s="2"/>
      <c r="W104" s="2"/>
      <c r="X104" s="2"/>
      <c r="Y104" s="2"/>
      <c r="Z104" s="2"/>
    </row>
    <row r="105">
      <c r="B105" s="1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3" t="s">
        <v>20</v>
      </c>
    </row>
    <row r="107">
      <c r="B107" s="1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B108" s="1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H109" s="2"/>
      <c r="I109" s="4" t="s">
        <v>8</v>
      </c>
      <c r="J109" s="34">
        <f t="shared" ref="J109:N109" si="61">rand()</f>
        <v>0.3692034635</v>
      </c>
      <c r="K109" s="25">
        <f t="shared" si="61"/>
        <v>0.8480008906</v>
      </c>
      <c r="L109" s="25">
        <f t="shared" si="61"/>
        <v>0.675649512</v>
      </c>
      <c r="M109" s="25">
        <f t="shared" si="61"/>
        <v>0.9415980612</v>
      </c>
      <c r="N109" s="26">
        <f t="shared" si="61"/>
        <v>0.6419457726</v>
      </c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H110" s="2"/>
      <c r="I110" s="1"/>
      <c r="J110" s="27">
        <f t="shared" ref="J110:N110" si="62">rand()</f>
        <v>0.951188574</v>
      </c>
      <c r="K110" s="28">
        <f t="shared" si="62"/>
        <v>0.6547001629</v>
      </c>
      <c r="L110" s="28">
        <f t="shared" si="62"/>
        <v>0.7959563065</v>
      </c>
      <c r="M110" s="28">
        <f t="shared" si="62"/>
        <v>0.3526750113</v>
      </c>
      <c r="N110" s="29">
        <f t="shared" si="62"/>
        <v>0.5085003084</v>
      </c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H111" s="2"/>
      <c r="I111" s="1"/>
      <c r="J111" s="27">
        <f t="shared" ref="J111:N111" si="63">rand()</f>
        <v>0.9884618204</v>
      </c>
      <c r="K111" s="28">
        <f t="shared" si="63"/>
        <v>0.5431461767</v>
      </c>
      <c r="L111" s="28">
        <f t="shared" si="63"/>
        <v>0.8618955745</v>
      </c>
      <c r="M111" s="28">
        <f t="shared" si="63"/>
        <v>0.20007365</v>
      </c>
      <c r="N111" s="29">
        <f t="shared" si="63"/>
        <v>0.4144153658</v>
      </c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H112" s="2"/>
      <c r="I112" s="1"/>
      <c r="J112" s="27">
        <f t="shared" ref="J112:N112" si="64">rand()</f>
        <v>0.7396403816</v>
      </c>
      <c r="K112" s="28">
        <f t="shared" si="64"/>
        <v>0.760013486</v>
      </c>
      <c r="L112" s="28">
        <f t="shared" si="64"/>
        <v>0.2526100714</v>
      </c>
      <c r="M112" s="28">
        <f t="shared" si="64"/>
        <v>0.8381433159</v>
      </c>
      <c r="N112" s="29">
        <f t="shared" si="64"/>
        <v>0.8364143121</v>
      </c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H113" s="2"/>
      <c r="I113" s="1"/>
      <c r="J113" s="31">
        <f t="shared" ref="J113:N113" si="65">rand()</f>
        <v>0.1436067032</v>
      </c>
      <c r="K113" s="32">
        <f t="shared" si="65"/>
        <v>0.07053762949</v>
      </c>
      <c r="L113" s="32">
        <f t="shared" si="65"/>
        <v>0.3281445307</v>
      </c>
      <c r="M113" s="32">
        <f t="shared" si="65"/>
        <v>0.2105916693</v>
      </c>
      <c r="N113" s="33">
        <f t="shared" si="65"/>
        <v>0.1270055665</v>
      </c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B114" s="1"/>
      <c r="C114" s="2"/>
      <c r="D114" s="2"/>
      <c r="E114" s="14"/>
      <c r="F114" s="2"/>
      <c r="G114" s="2"/>
      <c r="H114" s="2"/>
      <c r="I114" s="1"/>
      <c r="J114" s="2"/>
      <c r="K114" s="2"/>
      <c r="L114" s="14" t="s">
        <v>2</v>
      </c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B115" s="4" t="s">
        <v>9</v>
      </c>
      <c r="C115" s="34">
        <f t="shared" ref="C115:G115" si="66">rand()</f>
        <v>0.2834781576</v>
      </c>
      <c r="D115" s="25">
        <f t="shared" si="66"/>
        <v>0.5814555188</v>
      </c>
      <c r="E115" s="25">
        <f t="shared" si="66"/>
        <v>0.7169611957</v>
      </c>
      <c r="F115" s="25">
        <f t="shared" si="66"/>
        <v>0.03212516343</v>
      </c>
      <c r="G115" s="26">
        <f t="shared" si="66"/>
        <v>0.4484790204</v>
      </c>
      <c r="H115" s="2"/>
      <c r="I115" s="4" t="s">
        <v>10</v>
      </c>
      <c r="J115" s="5">
        <f t="array" ref="J115:N119">MMULT(J109:N113,C115:G119)</f>
        <v>1.733655875</v>
      </c>
      <c r="K115" s="6">
        <v>1.5751078548675976</v>
      </c>
      <c r="L115" s="6">
        <v>1.6155035699095117</v>
      </c>
      <c r="M115" s="6">
        <v>1.4062127928792705</v>
      </c>
      <c r="N115" s="7">
        <v>0.8634504304452415</v>
      </c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B116" s="4" t="s">
        <v>11</v>
      </c>
      <c r="C116" s="27">
        <f t="shared" ref="C116:G116" si="67">rand()</f>
        <v>0.7851945674</v>
      </c>
      <c r="D116" s="28">
        <f t="shared" si="67"/>
        <v>0.06436581211</v>
      </c>
      <c r="E116" s="28">
        <f t="shared" si="67"/>
        <v>0.3709558747</v>
      </c>
      <c r="F116" s="28">
        <f t="shared" si="67"/>
        <v>0.09351245708</v>
      </c>
      <c r="G116" s="29">
        <f t="shared" si="67"/>
        <v>0.03313189704</v>
      </c>
      <c r="H116" s="2"/>
      <c r="I116" s="1"/>
      <c r="J116" s="8">
        <v>1.6895488644769827</v>
      </c>
      <c r="K116" s="9">
        <v>1.446047891610896</v>
      </c>
      <c r="L116" s="9">
        <v>1.6945873597017589</v>
      </c>
      <c r="M116" s="9">
        <v>1.1526485408553075</v>
      </c>
      <c r="N116" s="10">
        <v>0.8135293447863037</v>
      </c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B117" s="1"/>
      <c r="C117" s="27">
        <f t="shared" ref="C117:G117" si="68">rand()</f>
        <v>0.6731183655</v>
      </c>
      <c r="D117" s="28">
        <f t="shared" si="68"/>
        <v>0.576937627</v>
      </c>
      <c r="E117" s="28">
        <f t="shared" si="68"/>
        <v>0.2627660095</v>
      </c>
      <c r="F117" s="28">
        <f t="shared" si="68"/>
        <v>0.7353013643</v>
      </c>
      <c r="G117" s="29">
        <f t="shared" si="68"/>
        <v>0.08229351238</v>
      </c>
      <c r="H117" s="14" t="s">
        <v>12</v>
      </c>
      <c r="I117" s="14" t="s">
        <v>12</v>
      </c>
      <c r="J117" s="8">
        <v>1.5811915619613448</v>
      </c>
      <c r="K117" s="9">
        <v>1.3519247980009073</v>
      </c>
      <c r="L117" s="9">
        <v>1.5669643423166906</v>
      </c>
      <c r="M117" s="9">
        <v>1.065568683720578</v>
      </c>
      <c r="N117" s="10">
        <v>0.7350274861534077</v>
      </c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B118" s="1"/>
      <c r="C118" s="27">
        <f t="shared" ref="C118:G118" si="69">rand()</f>
        <v>0.08294686739</v>
      </c>
      <c r="D118" s="28">
        <f t="shared" si="69"/>
        <v>0.8494744191</v>
      </c>
      <c r="E118" s="28">
        <f t="shared" si="69"/>
        <v>0.3041349124</v>
      </c>
      <c r="F118" s="28">
        <f t="shared" si="69"/>
        <v>0.4388546543</v>
      </c>
      <c r="G118" s="29">
        <f t="shared" si="69"/>
        <v>0.4749728266</v>
      </c>
      <c r="H118" s="2"/>
      <c r="I118" s="1"/>
      <c r="J118" s="8">
        <v>1.6065821252084858</v>
      </c>
      <c r="K118" s="9">
        <v>1.4880823772917393</v>
      </c>
      <c r="L118" s="9">
        <v>1.8792040681254794</v>
      </c>
      <c r="M118" s="9">
        <v>1.1761181455544096</v>
      </c>
      <c r="N118" s="10">
        <v>0.9932888254882484</v>
      </c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B119" s="1"/>
      <c r="C119" s="31">
        <f t="shared" ref="C119:G119" si="70">rand()</f>
        <v>0.6702347428</v>
      </c>
      <c r="D119" s="32">
        <f t="shared" si="70"/>
        <v>0.1809796252</v>
      </c>
      <c r="E119" s="32">
        <f t="shared" si="70"/>
        <v>0.8915356338</v>
      </c>
      <c r="F119" s="32">
        <f t="shared" si="70"/>
        <v>0.6309298107</v>
      </c>
      <c r="G119" s="33">
        <f t="shared" si="70"/>
        <v>0.260052309</v>
      </c>
      <c r="H119" s="2"/>
      <c r="I119" s="1"/>
      <c r="J119" s="11">
        <v>0.4195666997265619</v>
      </c>
      <c r="K119" s="12">
        <v>0.4792377045567213</v>
      </c>
      <c r="L119" s="12">
        <v>0.3926302776709577</v>
      </c>
      <c r="M119" s="12">
        <v>0.42504538922890117</v>
      </c>
      <c r="N119" s="13">
        <v>0.22679921633381678</v>
      </c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H120" s="2"/>
      <c r="I120" s="1"/>
      <c r="J120" s="2"/>
      <c r="K120" s="2"/>
      <c r="L120" s="14" t="s">
        <v>2</v>
      </c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H121" s="2"/>
      <c r="I121" s="4" t="s">
        <v>21</v>
      </c>
      <c r="J121" s="130">
        <v>0.5</v>
      </c>
      <c r="K121" s="2"/>
      <c r="L121" s="14" t="s">
        <v>2</v>
      </c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H122" s="2"/>
      <c r="I122" s="1"/>
      <c r="J122" s="14" t="s">
        <v>2</v>
      </c>
      <c r="K122" s="2"/>
      <c r="L122" s="14" t="s">
        <v>2</v>
      </c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H123" s="2"/>
      <c r="I123" s="4" t="s">
        <v>22</v>
      </c>
      <c r="J123" s="5"/>
      <c r="K123" s="6"/>
      <c r="L123" s="131"/>
      <c r="M123" s="6"/>
      <c r="N123" s="7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H124" s="2"/>
      <c r="I124" s="4" t="s">
        <v>23</v>
      </c>
      <c r="J124" s="8"/>
      <c r="K124" s="9"/>
      <c r="L124" s="132"/>
      <c r="M124" s="9"/>
      <c r="N124" s="10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H125" s="2"/>
      <c r="I125" s="1"/>
      <c r="J125" s="8"/>
      <c r="K125" s="9"/>
      <c r="L125" s="132"/>
      <c r="M125" s="9"/>
      <c r="N125" s="10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H126" s="2"/>
      <c r="I126" s="1"/>
      <c r="J126" s="8"/>
      <c r="K126" s="9"/>
      <c r="L126" s="132"/>
      <c r="M126" s="9"/>
      <c r="N126" s="10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H127" s="2"/>
      <c r="I127" s="1"/>
      <c r="J127" s="11"/>
      <c r="K127" s="12"/>
      <c r="L127" s="133"/>
      <c r="M127" s="12"/>
      <c r="N127" s="13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H128" s="2"/>
      <c r="I128" s="1"/>
      <c r="J128" s="2"/>
      <c r="K128" s="2"/>
      <c r="L128" s="14" t="s">
        <v>2</v>
      </c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H129" s="2"/>
      <c r="I129" s="4" t="s">
        <v>13</v>
      </c>
      <c r="J129" s="15"/>
      <c r="K129" s="16"/>
      <c r="L129" s="16"/>
      <c r="M129" s="16"/>
      <c r="N129" s="17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H130" s="2"/>
      <c r="I130" s="1"/>
      <c r="J130" s="18"/>
      <c r="K130" s="2"/>
      <c r="L130" s="2"/>
      <c r="M130" s="2"/>
      <c r="N130" s="19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H131" s="2"/>
      <c r="I131" s="1"/>
      <c r="J131" s="18"/>
      <c r="K131" s="2"/>
      <c r="L131" s="2"/>
      <c r="M131" s="2"/>
      <c r="N131" s="19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H132" s="2"/>
      <c r="I132" s="1"/>
      <c r="J132" s="18"/>
      <c r="K132" s="2"/>
      <c r="L132" s="2"/>
      <c r="M132" s="2"/>
      <c r="N132" s="19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H133" s="2"/>
      <c r="I133" s="1"/>
      <c r="J133" s="21"/>
      <c r="K133" s="22"/>
      <c r="L133" s="22"/>
      <c r="M133" s="22"/>
      <c r="N133" s="23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B135" s="1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B136" s="1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B137" s="1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B138" s="1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B139" s="1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B140" s="1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B141" s="1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B142" s="1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B143" s="1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B144" s="1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B145" s="1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B146" s="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B147" s="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B148" s="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B149" s="1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B150" s="1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B151" s="1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B152" s="1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B153" s="1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B154" s="1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B155" s="1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B156" s="1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B157" s="1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B158" s="1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B159" s="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B160" s="1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B161" s="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B162" s="1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B165" s="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B166" s="1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B167" s="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B168" s="1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B169" s="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B170" s="1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B171" s="1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B172" s="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B173" s="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B174" s="1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B175" s="1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B176" s="1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B178" s="1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B179" s="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B180" s="1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B181" s="1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B182" s="1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B183" s="1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B184" s="1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B185" s="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B186" s="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B188" s="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B189" s="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B190" s="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B191" s="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B192" s="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B193" s="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B194" s="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B195" s="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B196" s="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B197" s="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B198" s="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B199" s="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B201" s="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B202" s="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B203" s="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B204" s="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B205" s="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B208" s="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B210" s="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B211" s="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B212" s="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B213" s="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B214" s="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B215" s="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B216" s="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B217" s="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B218" s="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B220" s="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B222" s="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B223" s="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B260" s="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B262" s="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B263" s="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B264" s="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B265" s="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B266" s="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B268" s="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B269" s="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B270" s="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B275" s="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B276" s="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B278" s="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B279" s="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B280" s="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B281" s="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B282" s="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B283" s="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B284" s="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B289" s="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B291" s="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B294" s="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B296" s="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B297" s="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B298" s="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B299" s="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B300" s="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B301" s="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B302" s="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B303" s="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B304" s="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B305" s="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B306" s="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B307" s="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B308" s="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B309" s="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B311" s="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B312" s="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B313" s="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B314" s="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B315" s="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B316" s="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B317" s="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B318" s="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B319" s="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B320" s="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B322" s="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B323" s="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B324" s="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B325" s="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B326" s="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B328" s="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B329" s="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B330" s="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B331" s="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B332" s="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B333" s="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B334" s="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B344" s="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B349" s="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B350" s="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B351" s="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B352" s="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B353" s="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B354" s="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B356" s="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B358" s="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B360" s="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B361" s="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B362" s="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B363" s="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B364" s="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B365" s="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B366" s="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B367" s="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B368" s="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B369" s="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B370" s="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B371" s="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B373" s="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B374" s="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B375" s="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B376" s="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B377" s="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B378" s="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B379" s="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B380" s="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B381" s="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B382" s="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B383" s="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B384" s="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B385" s="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B386" s="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B387" s="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B388" s="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B389" s="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</sheetData>
  <mergeCells count="6">
    <mergeCell ref="A2:Z2"/>
    <mergeCell ref="A16:Z16"/>
    <mergeCell ref="A31:Z31"/>
    <mergeCell ref="A52:Z52"/>
    <mergeCell ref="A85:Z85"/>
    <mergeCell ref="A106:Z106"/>
  </mergeCells>
  <conditionalFormatting sqref="C4:G8 C10:G14 J10:O14 C18:G22 P21:P25 C24:G28 J24:N28 I34:N38 C40:G44 J40:O44 I46:N51 H51 H53:L55 J78:N82 I87:N92 C94:G98 I94:I95 J94:N98 I97:I98 J100:S104 J109:N113 C115:G119 J115:N119 J123:N127 J129:N133">
    <cfRule type="colorScale" priority="1">
      <colorScale>
        <cfvo type="min"/>
        <cfvo type="max"/>
        <color rgb="FFFFFFFF"/>
        <color rgb="FFFFD666"/>
      </colorScale>
    </cfRule>
  </conditionalFormatting>
  <conditionalFormatting sqref="J72:N76">
    <cfRule type="colorScale" priority="2">
      <colorScale>
        <cfvo type="min"/>
        <cfvo type="max"/>
        <color rgb="FFFFFFFF"/>
        <color rgb="FFFFD666"/>
      </colorScale>
    </cfRule>
  </conditionalFormatting>
  <conditionalFormatting sqref="C60:G64">
    <cfRule type="colorScale" priority="3">
      <colorScale>
        <cfvo type="min"/>
        <cfvo type="max"/>
        <color rgb="FFFFFFFF"/>
        <color rgb="FFFFD666"/>
      </colorScale>
    </cfRule>
  </conditionalFormatting>
  <conditionalFormatting sqref="C66:G70">
    <cfRule type="colorScale" priority="4">
      <colorScale>
        <cfvo type="min"/>
        <cfvo type="max"/>
        <color rgb="FFFFFFFF"/>
        <color rgb="FFFFD666"/>
      </colorScale>
    </cfRule>
  </conditionalFormatting>
  <conditionalFormatting sqref="J66:N70">
    <cfRule type="colorScale" priority="5">
      <colorScale>
        <cfvo type="min"/>
        <cfvo type="max"/>
        <color rgb="FFFFFFFF"/>
        <color rgb="FFFFD666"/>
      </colorScale>
    </cfRule>
  </conditionalFormatting>
  <conditionalFormatting sqref="J60:N64">
    <cfRule type="colorScale" priority="6">
      <colorScale>
        <cfvo type="min"/>
        <cfvo type="max"/>
        <color rgb="FFFFFFFF"/>
        <color rgb="FFFFD666"/>
      </colorScale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4.88"/>
  </cols>
  <sheetData>
    <row r="1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0</v>
      </c>
    </row>
    <row r="3"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B4" s="4" t="s">
        <v>1</v>
      </c>
      <c r="C4" s="5">
        <f t="shared" ref="C4:G4" si="1">rand()</f>
        <v>0.4718727771</v>
      </c>
      <c r="D4" s="6">
        <f t="shared" si="1"/>
        <v>0.5564459929</v>
      </c>
      <c r="E4" s="6">
        <f t="shared" si="1"/>
        <v>0.6623450906</v>
      </c>
      <c r="F4" s="6">
        <f t="shared" si="1"/>
        <v>0.3502069362</v>
      </c>
      <c r="G4" s="7">
        <f t="shared" si="1"/>
        <v>0.09729976908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B5" s="1"/>
      <c r="C5" s="8">
        <f t="shared" ref="C5:G5" si="2">rand()</f>
        <v>0.7861994805</v>
      </c>
      <c r="D5" s="9">
        <f t="shared" si="2"/>
        <v>0.4363930725</v>
      </c>
      <c r="E5" s="9">
        <f t="shared" si="2"/>
        <v>0.3323263804</v>
      </c>
      <c r="F5" s="9">
        <f t="shared" si="2"/>
        <v>0.7289028927</v>
      </c>
      <c r="G5" s="10">
        <f t="shared" si="2"/>
        <v>0.6013955003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B6" s="1"/>
      <c r="C6" s="8">
        <f t="shared" ref="C6:G6" si="3">rand()</f>
        <v>0.3083138866</v>
      </c>
      <c r="D6" s="9">
        <f t="shared" si="3"/>
        <v>0.7190683805</v>
      </c>
      <c r="E6" s="9">
        <f t="shared" si="3"/>
        <v>0.06070967177</v>
      </c>
      <c r="F6" s="9">
        <f t="shared" si="3"/>
        <v>0.6332996116</v>
      </c>
      <c r="G6" s="10">
        <f t="shared" si="3"/>
        <v>0.2102129699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B7" s="1"/>
      <c r="C7" s="8">
        <f t="shared" ref="C7:G7" si="4">rand()</f>
        <v>0.4664991926</v>
      </c>
      <c r="D7" s="9">
        <f t="shared" si="4"/>
        <v>0.7798308012</v>
      </c>
      <c r="E7" s="9">
        <f t="shared" si="4"/>
        <v>0.2540247353</v>
      </c>
      <c r="F7" s="9">
        <f t="shared" si="4"/>
        <v>0.1159716359</v>
      </c>
      <c r="G7" s="10">
        <f t="shared" si="4"/>
        <v>0.2053070379</v>
      </c>
      <c r="H7" s="2"/>
      <c r="I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B8" s="1"/>
      <c r="C8" s="11">
        <f t="shared" ref="C8:G8" si="5">rand()</f>
        <v>0.2003040739</v>
      </c>
      <c r="D8" s="12">
        <f t="shared" si="5"/>
        <v>0.7928299975</v>
      </c>
      <c r="E8" s="12">
        <f t="shared" si="5"/>
        <v>0.5319989227</v>
      </c>
      <c r="F8" s="12">
        <f t="shared" si="5"/>
        <v>0.1247421132</v>
      </c>
      <c r="G8" s="13">
        <f t="shared" si="5"/>
        <v>0.8803566773</v>
      </c>
      <c r="H8" s="2"/>
      <c r="I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B9" s="1"/>
      <c r="C9" s="2"/>
      <c r="D9" s="2"/>
      <c r="E9" s="14" t="s">
        <v>2</v>
      </c>
      <c r="F9" s="2"/>
      <c r="G9" s="2"/>
      <c r="H9" s="2"/>
      <c r="I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B10" s="4" t="s">
        <v>3</v>
      </c>
      <c r="C10" s="5">
        <f t="shared" ref="C10:G10" si="6">C4+J10</f>
        <v>1.131481402</v>
      </c>
      <c r="D10" s="6">
        <f t="shared" si="6"/>
        <v>1.484636685</v>
      </c>
      <c r="E10" s="6">
        <f t="shared" si="6"/>
        <v>0.7202698616</v>
      </c>
      <c r="F10" s="6">
        <f t="shared" si="6"/>
        <v>1.27175414</v>
      </c>
      <c r="G10" s="7">
        <f t="shared" si="6"/>
        <v>0.7588138025</v>
      </c>
      <c r="H10" s="2"/>
      <c r="I10" s="4" t="s">
        <v>4</v>
      </c>
      <c r="J10" s="5">
        <f t="shared" ref="J10:N10" si="7">rand()</f>
        <v>0.6596086248</v>
      </c>
      <c r="K10" s="6">
        <f t="shared" si="7"/>
        <v>0.9281906917</v>
      </c>
      <c r="L10" s="6">
        <f t="shared" si="7"/>
        <v>0.05792477098</v>
      </c>
      <c r="M10" s="6">
        <f t="shared" si="7"/>
        <v>0.9215472037</v>
      </c>
      <c r="N10" s="7">
        <f t="shared" si="7"/>
        <v>0.6615140334</v>
      </c>
      <c r="P10" s="2"/>
      <c r="Q10" s="2"/>
      <c r="R10" s="2"/>
      <c r="Y10" s="2"/>
      <c r="Z10" s="2"/>
    </row>
    <row r="11">
      <c r="B11" s="1"/>
      <c r="C11" s="8">
        <f t="shared" ref="C11:G11" si="8">C5+J11</f>
        <v>1.527924175</v>
      </c>
      <c r="D11" s="9">
        <f t="shared" si="8"/>
        <v>1.152860107</v>
      </c>
      <c r="E11" s="9">
        <f t="shared" si="8"/>
        <v>0.9659871625</v>
      </c>
      <c r="F11" s="9">
        <f t="shared" si="8"/>
        <v>1.119716615</v>
      </c>
      <c r="G11" s="10">
        <f t="shared" si="8"/>
        <v>0.7587910045</v>
      </c>
      <c r="H11" s="2"/>
      <c r="I11" s="1"/>
      <c r="J11" s="8">
        <f t="shared" ref="J11:N11" si="9">rand()</f>
        <v>0.7417246945</v>
      </c>
      <c r="K11" s="9">
        <f t="shared" si="9"/>
        <v>0.7164670346</v>
      </c>
      <c r="L11" s="9">
        <f t="shared" si="9"/>
        <v>0.6336607821</v>
      </c>
      <c r="M11" s="9">
        <f t="shared" si="9"/>
        <v>0.3908137227</v>
      </c>
      <c r="N11" s="10">
        <f t="shared" si="9"/>
        <v>0.1573955042</v>
      </c>
      <c r="P11" s="2"/>
      <c r="Q11" s="2"/>
      <c r="R11" s="2"/>
      <c r="Y11" s="2"/>
      <c r="Z11" s="2"/>
    </row>
    <row r="12">
      <c r="B12" s="1"/>
      <c r="C12" s="8">
        <f t="shared" ref="C12:G12" si="10">C6+J12</f>
        <v>0.3260772947</v>
      </c>
      <c r="D12" s="9">
        <f t="shared" si="10"/>
        <v>1.088443263</v>
      </c>
      <c r="E12" s="9">
        <f t="shared" si="10"/>
        <v>0.7894050855</v>
      </c>
      <c r="F12" s="9">
        <f t="shared" si="10"/>
        <v>0.8517961292</v>
      </c>
      <c r="G12" s="10">
        <f t="shared" si="10"/>
        <v>0.3112852675</v>
      </c>
      <c r="H12" s="20" t="s">
        <v>5</v>
      </c>
      <c r="I12" s="20" t="s">
        <v>5</v>
      </c>
      <c r="J12" s="8">
        <f t="shared" ref="J12:N12" si="11">rand()</f>
        <v>0.01776340807</v>
      </c>
      <c r="K12" s="9">
        <f t="shared" si="11"/>
        <v>0.3693748821</v>
      </c>
      <c r="L12" s="9">
        <f t="shared" si="11"/>
        <v>0.7286954137</v>
      </c>
      <c r="M12" s="9">
        <f t="shared" si="11"/>
        <v>0.2184965176</v>
      </c>
      <c r="N12" s="10">
        <f t="shared" si="11"/>
        <v>0.1010722976</v>
      </c>
      <c r="P12" s="2"/>
      <c r="Q12" s="2"/>
      <c r="R12" s="2"/>
      <c r="Y12" s="2"/>
      <c r="Z12" s="2"/>
    </row>
    <row r="13">
      <c r="B13" s="1"/>
      <c r="C13" s="8">
        <f t="shared" ref="C13:G13" si="12">C7+J13</f>
        <v>0.5157311569</v>
      </c>
      <c r="D13" s="9">
        <f t="shared" si="12"/>
        <v>0.9560243474</v>
      </c>
      <c r="E13" s="9">
        <f t="shared" si="12"/>
        <v>0.8725277901</v>
      </c>
      <c r="F13" s="9">
        <f t="shared" si="12"/>
        <v>0.7605098144</v>
      </c>
      <c r="G13" s="10">
        <f t="shared" si="12"/>
        <v>0.823997831</v>
      </c>
      <c r="H13" s="2"/>
      <c r="I13" s="1"/>
      <c r="J13" s="8">
        <f t="shared" ref="J13:N13" si="13">rand()</f>
        <v>0.04923196431</v>
      </c>
      <c r="K13" s="9">
        <f t="shared" si="13"/>
        <v>0.1761935462</v>
      </c>
      <c r="L13" s="9">
        <f t="shared" si="13"/>
        <v>0.6185030547</v>
      </c>
      <c r="M13" s="9">
        <f t="shared" si="13"/>
        <v>0.6445381785</v>
      </c>
      <c r="N13" s="10">
        <f t="shared" si="13"/>
        <v>0.6186907931</v>
      </c>
      <c r="P13" s="2"/>
      <c r="Q13" s="2"/>
      <c r="R13" s="2"/>
      <c r="Y13" s="2"/>
      <c r="Z13" s="2"/>
    </row>
    <row r="14">
      <c r="B14" s="1"/>
      <c r="C14" s="11">
        <f t="shared" ref="C14:G14" si="14">C8+J14</f>
        <v>0.7120353444</v>
      </c>
      <c r="D14" s="12">
        <f t="shared" si="14"/>
        <v>0.8660925923</v>
      </c>
      <c r="E14" s="12">
        <f t="shared" si="14"/>
        <v>0.7989554189</v>
      </c>
      <c r="F14" s="12">
        <f t="shared" si="14"/>
        <v>0.5631008205</v>
      </c>
      <c r="G14" s="13">
        <f t="shared" si="14"/>
        <v>1.206549206</v>
      </c>
      <c r="H14" s="2"/>
      <c r="I14" s="1"/>
      <c r="J14" s="11">
        <f t="shared" ref="J14:N14" si="15">rand()</f>
        <v>0.5117312705</v>
      </c>
      <c r="K14" s="12">
        <f t="shared" si="15"/>
        <v>0.07326259477</v>
      </c>
      <c r="L14" s="12">
        <f t="shared" si="15"/>
        <v>0.2669564962</v>
      </c>
      <c r="M14" s="12">
        <f t="shared" si="15"/>
        <v>0.4383587073</v>
      </c>
      <c r="N14" s="13">
        <f t="shared" si="15"/>
        <v>0.3261925283</v>
      </c>
      <c r="P14" s="2"/>
      <c r="Q14" s="2"/>
      <c r="R14" s="2"/>
      <c r="Y14" s="2"/>
      <c r="Z14" s="2"/>
    </row>
    <row r="15">
      <c r="B15" s="1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6</v>
      </c>
    </row>
    <row r="17">
      <c r="B17" s="1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B18" s="4" t="s">
        <v>1</v>
      </c>
      <c r="C18" s="5">
        <f t="shared" ref="C18:G18" si="16">rand()</f>
        <v>0.3831778665</v>
      </c>
      <c r="D18" s="6">
        <f t="shared" si="16"/>
        <v>0.5609596234</v>
      </c>
      <c r="E18" s="6">
        <f t="shared" si="16"/>
        <v>0.8047835365</v>
      </c>
      <c r="F18" s="6">
        <f t="shared" si="16"/>
        <v>0.1263170996</v>
      </c>
      <c r="G18" s="7">
        <f t="shared" si="16"/>
        <v>0.3516667468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B19" s="1"/>
      <c r="C19" s="8">
        <f t="shared" ref="C19:G19" si="17">rand()</f>
        <v>0.8896526116</v>
      </c>
      <c r="D19" s="9">
        <f t="shared" si="17"/>
        <v>0.02728066265</v>
      </c>
      <c r="E19" s="9">
        <f t="shared" si="17"/>
        <v>0.4317899107</v>
      </c>
      <c r="F19" s="9">
        <f t="shared" si="17"/>
        <v>0.7540922774</v>
      </c>
      <c r="G19" s="10">
        <f t="shared" si="17"/>
        <v>0.8318059073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B20" s="1"/>
      <c r="C20" s="8">
        <f t="shared" ref="C20:G20" si="18">rand()</f>
        <v>0.2140563831</v>
      </c>
      <c r="D20" s="9">
        <f t="shared" si="18"/>
        <v>0.08694412109</v>
      </c>
      <c r="E20" s="9">
        <f t="shared" si="18"/>
        <v>0.634322984</v>
      </c>
      <c r="F20" s="9">
        <f t="shared" si="18"/>
        <v>0.591171385</v>
      </c>
      <c r="G20" s="10">
        <f t="shared" si="18"/>
        <v>0.1330896971</v>
      </c>
      <c r="H20" s="2"/>
      <c r="I20" s="2"/>
      <c r="J20" s="2"/>
      <c r="K20" s="2"/>
      <c r="L20" s="2"/>
      <c r="M20" s="2"/>
      <c r="N20" s="2"/>
      <c r="O20" s="2"/>
      <c r="P20" s="2"/>
      <c r="W20" s="2"/>
      <c r="X20" s="2"/>
      <c r="Y20" s="2"/>
      <c r="Z20" s="2"/>
    </row>
    <row r="21">
      <c r="B21" s="1"/>
      <c r="C21" s="8">
        <f t="shared" ref="C21:G21" si="19">rand()</f>
        <v>0.4718186328</v>
      </c>
      <c r="D21" s="9">
        <f t="shared" si="19"/>
        <v>0.2307280182</v>
      </c>
      <c r="E21" s="9">
        <f t="shared" si="19"/>
        <v>0.982429831</v>
      </c>
      <c r="F21" s="9">
        <f t="shared" si="19"/>
        <v>0.2044912874</v>
      </c>
      <c r="G21" s="10">
        <f t="shared" si="19"/>
        <v>0.4072862974</v>
      </c>
      <c r="H21" s="2"/>
      <c r="I21" s="2"/>
      <c r="W21" s="2"/>
      <c r="X21" s="2"/>
      <c r="Y21" s="2"/>
      <c r="Z21" s="2"/>
    </row>
    <row r="22">
      <c r="B22" s="1"/>
      <c r="C22" s="11">
        <f t="shared" ref="C22:G22" si="20">rand()</f>
        <v>0.8001487272</v>
      </c>
      <c r="D22" s="12">
        <f t="shared" si="20"/>
        <v>0.564744706</v>
      </c>
      <c r="E22" s="12">
        <f t="shared" si="20"/>
        <v>0.5527711483</v>
      </c>
      <c r="F22" s="12">
        <f t="shared" si="20"/>
        <v>0.8231340198</v>
      </c>
      <c r="G22" s="13">
        <f t="shared" si="20"/>
        <v>0.5853987957</v>
      </c>
      <c r="H22" s="2"/>
      <c r="I22" s="2"/>
      <c r="W22" s="2"/>
      <c r="X22" s="2"/>
      <c r="Y22" s="2"/>
      <c r="Z22" s="2"/>
    </row>
    <row r="23">
      <c r="B23" s="1"/>
      <c r="C23" s="2"/>
      <c r="D23" s="2"/>
      <c r="E23" s="14" t="s">
        <v>2</v>
      </c>
      <c r="F23" s="2"/>
      <c r="G23" s="2"/>
      <c r="H23" s="2"/>
      <c r="I23" s="2"/>
      <c r="W23" s="2"/>
      <c r="X23" s="2"/>
      <c r="Y23" s="2"/>
      <c r="Z23" s="2"/>
    </row>
    <row r="24">
      <c r="B24" s="4" t="s">
        <v>3</v>
      </c>
      <c r="C24" s="34">
        <f t="array" ref="C24:G28">C18:G22 + J24:N28</f>
        <v>0.6645941081</v>
      </c>
      <c r="D24" s="25">
        <v>1.195544070148233</v>
      </c>
      <c r="E24" s="25">
        <v>1.4651119394405203</v>
      </c>
      <c r="F24" s="25">
        <v>0.6014230978335754</v>
      </c>
      <c r="G24" s="26">
        <v>0.7456041610707956</v>
      </c>
      <c r="H24" s="2"/>
      <c r="I24" s="4" t="s">
        <v>4</v>
      </c>
      <c r="J24" s="5">
        <f t="shared" ref="J24:N24" si="21">rand()</f>
        <v>0.2814162415</v>
      </c>
      <c r="K24" s="6">
        <f t="shared" si="21"/>
        <v>0.6345844468</v>
      </c>
      <c r="L24" s="6">
        <f t="shared" si="21"/>
        <v>0.6603284029</v>
      </c>
      <c r="M24" s="6">
        <f t="shared" si="21"/>
        <v>0.4751059983</v>
      </c>
      <c r="N24" s="7">
        <f t="shared" si="21"/>
        <v>0.3939374143</v>
      </c>
      <c r="W24" s="2"/>
      <c r="X24" s="2"/>
      <c r="Y24" s="2"/>
      <c r="Z24" s="2"/>
    </row>
    <row r="25">
      <c r="B25" s="1"/>
      <c r="C25" s="27">
        <v>1.3678904110785877</v>
      </c>
      <c r="D25" s="28">
        <v>0.6298046433932806</v>
      </c>
      <c r="E25" s="28">
        <v>1.1739426129474575</v>
      </c>
      <c r="F25" s="28">
        <v>1.222301404483113</v>
      </c>
      <c r="G25" s="29">
        <v>1.7895139428684628</v>
      </c>
      <c r="H25" s="2"/>
      <c r="I25" s="1"/>
      <c r="J25" s="8">
        <f t="shared" ref="J25:N25" si="22">rand()</f>
        <v>0.4782377994</v>
      </c>
      <c r="K25" s="9">
        <f t="shared" si="22"/>
        <v>0.6025239807</v>
      </c>
      <c r="L25" s="9">
        <f t="shared" si="22"/>
        <v>0.7421527023</v>
      </c>
      <c r="M25" s="9">
        <f t="shared" si="22"/>
        <v>0.4682091271</v>
      </c>
      <c r="N25" s="10">
        <f t="shared" si="22"/>
        <v>0.9577080356</v>
      </c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B26" s="1"/>
      <c r="C26" s="27">
        <v>1.110479079279719</v>
      </c>
      <c r="D26" s="28">
        <v>1.006148198026364</v>
      </c>
      <c r="E26" s="28">
        <v>1.3809678686356954</v>
      </c>
      <c r="F26" s="28">
        <v>1.590089892212433</v>
      </c>
      <c r="G26" s="29">
        <v>0.9863037505540878</v>
      </c>
      <c r="H26" s="30" t="s">
        <v>5</v>
      </c>
      <c r="I26" s="30" t="s">
        <v>5</v>
      </c>
      <c r="J26" s="8">
        <f t="shared" ref="J26:N26" si="23">rand()</f>
        <v>0.8964226962</v>
      </c>
      <c r="K26" s="9">
        <f t="shared" si="23"/>
        <v>0.9192040769</v>
      </c>
      <c r="L26" s="9">
        <f t="shared" si="23"/>
        <v>0.7466448846</v>
      </c>
      <c r="M26" s="9">
        <f t="shared" si="23"/>
        <v>0.9989185072</v>
      </c>
      <c r="N26" s="10">
        <f t="shared" si="23"/>
        <v>0.8532140535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B27" s="1"/>
      <c r="C27" s="27">
        <v>1.3612900218101314</v>
      </c>
      <c r="D27" s="28">
        <v>1.0188883526378245</v>
      </c>
      <c r="E27" s="28">
        <v>1.5461362453603837</v>
      </c>
      <c r="F27" s="28">
        <v>0.7247769538933808</v>
      </c>
      <c r="G27" s="29">
        <v>0.5827921881213034</v>
      </c>
      <c r="H27" s="2"/>
      <c r="I27" s="1"/>
      <c r="J27" s="8">
        <f t="shared" ref="J27:N27" si="24">rand()</f>
        <v>0.889471389</v>
      </c>
      <c r="K27" s="9">
        <f t="shared" si="24"/>
        <v>0.7881603345</v>
      </c>
      <c r="L27" s="9">
        <f t="shared" si="24"/>
        <v>0.5637064144</v>
      </c>
      <c r="M27" s="9">
        <f t="shared" si="24"/>
        <v>0.5202856665</v>
      </c>
      <c r="N27" s="10">
        <f t="shared" si="24"/>
        <v>0.1755058907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B28" s="1"/>
      <c r="C28" s="31">
        <v>1.715976057474456</v>
      </c>
      <c r="D28" s="32">
        <v>1.100962643314738</v>
      </c>
      <c r="E28" s="32">
        <v>1.2805528592444029</v>
      </c>
      <c r="F28" s="32">
        <v>1.8169748909400938</v>
      </c>
      <c r="G28" s="33">
        <v>0.7037054101901126</v>
      </c>
      <c r="H28" s="2"/>
      <c r="I28" s="1"/>
      <c r="J28" s="11">
        <f t="shared" ref="J28:N28" si="25">rand()</f>
        <v>0.9158273302</v>
      </c>
      <c r="K28" s="12">
        <f t="shared" si="25"/>
        <v>0.5362179373</v>
      </c>
      <c r="L28" s="12">
        <f t="shared" si="25"/>
        <v>0.7277817109</v>
      </c>
      <c r="M28" s="12">
        <f t="shared" si="25"/>
        <v>0.9938408711</v>
      </c>
      <c r="N28" s="13">
        <f t="shared" si="25"/>
        <v>0.1183066144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B29" s="1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B30" s="1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3" t="s">
        <v>7</v>
      </c>
    </row>
    <row r="32">
      <c r="B32" s="1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B33" s="1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I34" s="4" t="s">
        <v>8</v>
      </c>
      <c r="J34" s="34">
        <f t="shared" ref="J34:N34" si="26">rand()</f>
        <v>0.6416802007</v>
      </c>
      <c r="K34" s="25">
        <f t="shared" si="26"/>
        <v>0.7871754941</v>
      </c>
      <c r="L34" s="25">
        <f t="shared" si="26"/>
        <v>0.8781777404</v>
      </c>
      <c r="M34" s="25">
        <f t="shared" si="26"/>
        <v>0.1396611077</v>
      </c>
      <c r="N34" s="26">
        <f t="shared" si="26"/>
        <v>0.3087786428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I35" s="1"/>
      <c r="J35" s="27">
        <f t="shared" ref="J35:N35" si="27">rand()</f>
        <v>0.03611006912</v>
      </c>
      <c r="K35" s="28">
        <f t="shared" si="27"/>
        <v>0.4643007473</v>
      </c>
      <c r="L35" s="28">
        <f t="shared" si="27"/>
        <v>0.6331029539</v>
      </c>
      <c r="M35" s="28">
        <f t="shared" si="27"/>
        <v>0.2224881661</v>
      </c>
      <c r="N35" s="29">
        <f t="shared" si="27"/>
        <v>0.3214464644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I36" s="1"/>
      <c r="J36" s="27">
        <f t="shared" ref="J36:N36" si="28">rand()</f>
        <v>0.372759855</v>
      </c>
      <c r="K36" s="28">
        <f t="shared" si="28"/>
        <v>0.2898678228</v>
      </c>
      <c r="L36" s="28">
        <f t="shared" si="28"/>
        <v>0.6969200612</v>
      </c>
      <c r="M36" s="28">
        <f t="shared" si="28"/>
        <v>0.8311933371</v>
      </c>
      <c r="N36" s="29">
        <f t="shared" si="28"/>
        <v>0.2450561687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I37" s="1"/>
      <c r="J37" s="27">
        <f t="shared" ref="J37:N37" si="29">rand()</f>
        <v>0.4061810828</v>
      </c>
      <c r="K37" s="28">
        <f t="shared" si="29"/>
        <v>0.1569475729</v>
      </c>
      <c r="L37" s="28">
        <f t="shared" si="29"/>
        <v>0.8770217039</v>
      </c>
      <c r="M37" s="28">
        <f t="shared" si="29"/>
        <v>0.7807090346</v>
      </c>
      <c r="N37" s="29">
        <f t="shared" si="29"/>
        <v>0.5234713226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I38" s="1"/>
      <c r="J38" s="31">
        <f t="shared" ref="J38:N38" si="30">rand()</f>
        <v>0.567638864</v>
      </c>
      <c r="K38" s="32">
        <f t="shared" si="30"/>
        <v>0.3181057696</v>
      </c>
      <c r="L38" s="32">
        <f t="shared" si="30"/>
        <v>0.4422868876</v>
      </c>
      <c r="M38" s="32">
        <f t="shared" si="30"/>
        <v>0.03134984182</v>
      </c>
      <c r="N38" s="33">
        <f t="shared" si="30"/>
        <v>0.1138622841</v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B39" s="1"/>
      <c r="C39" s="2"/>
      <c r="D39" s="2"/>
      <c r="E39" s="14"/>
      <c r="F39" s="2"/>
      <c r="G39" s="2"/>
      <c r="H39" s="2"/>
      <c r="I39" s="2"/>
      <c r="J39" s="2"/>
      <c r="K39" s="2"/>
      <c r="L39" s="14" t="s">
        <v>2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B40" s="4" t="s">
        <v>9</v>
      </c>
      <c r="C40" s="34">
        <f t="shared" ref="C40:G40" si="31">rand()</f>
        <v>0.6265886436</v>
      </c>
      <c r="D40" s="25">
        <f t="shared" si="31"/>
        <v>0.3391663031</v>
      </c>
      <c r="E40" s="25">
        <f t="shared" si="31"/>
        <v>0.3257747679</v>
      </c>
      <c r="F40" s="25">
        <f t="shared" si="31"/>
        <v>0.1061370174</v>
      </c>
      <c r="G40" s="26">
        <f t="shared" si="31"/>
        <v>0.8743996032</v>
      </c>
      <c r="H40" s="2"/>
      <c r="I40" s="4" t="s">
        <v>10</v>
      </c>
      <c r="J40" s="5">
        <f t="array" ref="J40:N44">MMULT(J34:N38,C40:G44)</f>
        <v>1.362993467</v>
      </c>
      <c r="K40" s="6">
        <v>0.9410157335142906</v>
      </c>
      <c r="L40" s="6">
        <v>1.409670854583139</v>
      </c>
      <c r="M40" s="6">
        <v>1.231426988272014</v>
      </c>
      <c r="N40" s="7">
        <v>1.8284371992426425</v>
      </c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B41" s="4" t="s">
        <v>11</v>
      </c>
      <c r="C41" s="27">
        <f t="shared" ref="C41:G41" si="32">rand()</f>
        <v>0.04675021799</v>
      </c>
      <c r="D41" s="28">
        <f t="shared" si="32"/>
        <v>0.2897752918</v>
      </c>
      <c r="E41" s="28">
        <f t="shared" si="32"/>
        <v>0.8150398152</v>
      </c>
      <c r="F41" s="28">
        <f t="shared" si="32"/>
        <v>0.9898253089</v>
      </c>
      <c r="G41" s="29">
        <f t="shared" si="32"/>
        <v>0.7836580885</v>
      </c>
      <c r="H41" s="2"/>
      <c r="I41" s="1"/>
      <c r="J41" s="8">
        <v>0.8060836056474157</v>
      </c>
      <c r="K41" s="9">
        <v>0.5850203463336352</v>
      </c>
      <c r="L41" s="9">
        <v>0.9708068478510048</v>
      </c>
      <c r="M41" s="9">
        <v>0.8170342641147456</v>
      </c>
      <c r="N41" s="10">
        <v>0.9917934423065919</v>
      </c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B42" s="1"/>
      <c r="C42" s="27">
        <f t="shared" ref="C42:G42" si="33">rand()</f>
        <v>0.7854036717</v>
      </c>
      <c r="D42" s="28">
        <f t="shared" si="33"/>
        <v>0.3494242647</v>
      </c>
      <c r="E42" s="28">
        <f t="shared" si="33"/>
        <v>0.1865182259</v>
      </c>
      <c r="F42" s="28">
        <f t="shared" si="33"/>
        <v>0.1856552372</v>
      </c>
      <c r="G42" s="29">
        <f t="shared" si="33"/>
        <v>0.3956194601</v>
      </c>
      <c r="H42" s="14" t="s">
        <v>12</v>
      </c>
      <c r="I42" s="14" t="s">
        <v>12</v>
      </c>
      <c r="J42" s="8">
        <v>1.171995018669189</v>
      </c>
      <c r="K42" s="9">
        <v>0.7983819726507875</v>
      </c>
      <c r="L42" s="9">
        <v>1.2785002283350435</v>
      </c>
      <c r="M42" s="9">
        <v>0.6864638058309004</v>
      </c>
      <c r="N42" s="10">
        <v>1.3534901834768573</v>
      </c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B43" s="1"/>
      <c r="C43" s="27">
        <f t="shared" ref="C43:G43" si="34">rand()</f>
        <v>0.2658228056</v>
      </c>
      <c r="D43" s="28">
        <f t="shared" si="34"/>
        <v>0.2705643971</v>
      </c>
      <c r="E43" s="28">
        <f t="shared" si="34"/>
        <v>0.6623662764</v>
      </c>
      <c r="F43" s="28">
        <f t="shared" si="34"/>
        <v>0.07650412437</v>
      </c>
      <c r="G43" s="29">
        <f t="shared" si="34"/>
        <v>0.3944805784</v>
      </c>
      <c r="H43" s="2"/>
      <c r="I43" s="1"/>
      <c r="J43" s="8">
        <v>1.4926303359469346</v>
      </c>
      <c r="K43" s="9">
        <v>0.956292219708287</v>
      </c>
      <c r="L43" s="9">
        <v>1.45418096372808</v>
      </c>
      <c r="M43" s="9">
        <v>0.7777569215606459</v>
      </c>
      <c r="N43" s="10">
        <v>1.5534615994263197</v>
      </c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B44" s="1"/>
      <c r="C44" s="31">
        <f t="shared" ref="C44:G44" si="35">rand()</f>
        <v>0.6388854599</v>
      </c>
      <c r="D44" s="32">
        <f t="shared" si="35"/>
        <v>0.4878300118</v>
      </c>
      <c r="E44" s="32">
        <f t="shared" si="35"/>
        <v>0.9804606372</v>
      </c>
      <c r="F44" s="32">
        <f t="shared" si="35"/>
        <v>0.6814972362</v>
      </c>
      <c r="G44" s="33">
        <f t="shared" si="35"/>
        <v>0.8030284835</v>
      </c>
      <c r="H44" s="2"/>
      <c r="I44" s="1"/>
      <c r="J44" s="11">
        <v>0.7989997859847763</v>
      </c>
      <c r="K44" s="12">
        <v>0.5032765280939266</v>
      </c>
      <c r="L44" s="12">
        <v>0.6590884180184476</v>
      </c>
      <c r="M44" s="12">
        <v>0.5372247387029556</v>
      </c>
      <c r="N44" s="13">
        <v>1.024408217453743</v>
      </c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B45" s="1"/>
      <c r="C45" s="2"/>
      <c r="D45" s="2"/>
      <c r="F45" s="2"/>
      <c r="G45" s="2"/>
      <c r="I45" s="1"/>
      <c r="J45" s="2"/>
      <c r="K45" s="2"/>
      <c r="L45" s="14" t="s">
        <v>2</v>
      </c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I46" s="4" t="s">
        <v>13</v>
      </c>
      <c r="J46" s="5">
        <f t="array" ref="J46:N50">J40:N44+ J34:N38</f>
        <v>2.004673668</v>
      </c>
      <c r="K46" s="6">
        <v>1.7281912275764617</v>
      </c>
      <c r="L46" s="6">
        <v>2.287848595031604</v>
      </c>
      <c r="M46" s="6">
        <v>1.371088096000285</v>
      </c>
      <c r="N46" s="7">
        <v>2.137215842056192</v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I47" s="1"/>
      <c r="J47" s="8">
        <v>0.8421936747636535</v>
      </c>
      <c r="K47" s="9">
        <v>1.0493210936587647</v>
      </c>
      <c r="L47" s="9">
        <v>1.6039098017355604</v>
      </c>
      <c r="M47" s="9">
        <v>1.039522430260519</v>
      </c>
      <c r="N47" s="10">
        <v>1.3132399066717038</v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I48" s="1"/>
      <c r="J48" s="8">
        <v>1.5447548736963603</v>
      </c>
      <c r="K48" s="9">
        <v>1.0882497954745871</v>
      </c>
      <c r="L48" s="9">
        <v>1.9754202895559336</v>
      </c>
      <c r="M48" s="9">
        <v>1.5176571429620838</v>
      </c>
      <c r="N48" s="10">
        <v>1.5985463521533942</v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I49" s="1"/>
      <c r="J49" s="8">
        <v>1.8988114187864418</v>
      </c>
      <c r="K49" s="9">
        <v>1.1132397925806188</v>
      </c>
      <c r="L49" s="9">
        <v>2.3312026675989013</v>
      </c>
      <c r="M49" s="9">
        <v>1.5584659561417802</v>
      </c>
      <c r="N49" s="10">
        <v>2.0769329220442607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I50" s="1"/>
      <c r="J50" s="11">
        <v>1.3666386499805556</v>
      </c>
      <c r="K50" s="12">
        <v>0.8213822976572288</v>
      </c>
      <c r="L50" s="12">
        <v>1.1013753055684923</v>
      </c>
      <c r="M50" s="12">
        <v>0.5685745805274331</v>
      </c>
      <c r="N50" s="13">
        <v>1.1382705015545114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36" t="s">
        <v>14</v>
      </c>
    </row>
    <row r="53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>
      <c r="A55" s="35"/>
      <c r="B55" s="35"/>
      <c r="C55" s="35"/>
      <c r="D55" s="35"/>
      <c r="E55" s="35"/>
      <c r="F55" s="35"/>
      <c r="G55" s="35"/>
      <c r="H55" s="35"/>
      <c r="I55" s="37" t="s">
        <v>8</v>
      </c>
      <c r="J55" s="38">
        <f t="shared" ref="J55:N55" si="36">NORMINV(rand(),0, 1)</f>
        <v>2.491174659</v>
      </c>
      <c r="K55" s="39">
        <f t="shared" si="36"/>
        <v>0.6111435986</v>
      </c>
      <c r="L55" s="39">
        <f t="shared" si="36"/>
        <v>0.3482899443</v>
      </c>
      <c r="M55" s="39">
        <f t="shared" si="36"/>
        <v>1.011193952</v>
      </c>
      <c r="N55" s="40">
        <f t="shared" si="36"/>
        <v>0.2268882011</v>
      </c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>
      <c r="A56" s="35"/>
      <c r="B56" s="35"/>
      <c r="C56" s="35"/>
      <c r="D56" s="35"/>
      <c r="E56" s="35"/>
      <c r="F56" s="35"/>
      <c r="G56" s="35"/>
      <c r="H56" s="35"/>
      <c r="I56" s="35"/>
      <c r="J56" s="41">
        <f t="shared" ref="J56:N56" si="37">NORMINV(rand(),0, 1)</f>
        <v>-2.197115123</v>
      </c>
      <c r="K56" s="42">
        <f t="shared" si="37"/>
        <v>-0.7364243468</v>
      </c>
      <c r="L56" s="42">
        <f t="shared" si="37"/>
        <v>-1.114896157</v>
      </c>
      <c r="M56" s="42">
        <f t="shared" si="37"/>
        <v>-0.2200474754</v>
      </c>
      <c r="N56" s="43">
        <f t="shared" si="37"/>
        <v>0.3049702607</v>
      </c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>
      <c r="A57" s="35"/>
      <c r="B57" s="35"/>
      <c r="C57" s="35"/>
      <c r="D57" s="35"/>
      <c r="E57" s="35"/>
      <c r="F57" s="35"/>
      <c r="G57" s="35"/>
      <c r="H57" s="35"/>
      <c r="I57" s="35"/>
      <c r="J57" s="41">
        <f t="shared" ref="J57:N57" si="38">NORMINV(rand(),0, 1)</f>
        <v>-0.2949155032</v>
      </c>
      <c r="K57" s="42">
        <f t="shared" si="38"/>
        <v>0.4069559344</v>
      </c>
      <c r="L57" s="42">
        <f t="shared" si="38"/>
        <v>0.2748045811</v>
      </c>
      <c r="M57" s="42">
        <f t="shared" si="38"/>
        <v>-1.59335137</v>
      </c>
      <c r="N57" s="43">
        <f t="shared" si="38"/>
        <v>0.8878852502</v>
      </c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>
      <c r="A58" s="35"/>
      <c r="B58" s="35"/>
      <c r="C58" s="35"/>
      <c r="D58" s="35"/>
      <c r="E58" s="35"/>
      <c r="F58" s="35"/>
      <c r="G58" s="35"/>
      <c r="H58" s="35"/>
      <c r="I58" s="35"/>
      <c r="J58" s="41">
        <f t="shared" ref="J58:N58" si="39">NORMINV(rand(),0, 1)</f>
        <v>-0.07715122706</v>
      </c>
      <c r="K58" s="42">
        <f t="shared" si="39"/>
        <v>-0.9714722416</v>
      </c>
      <c r="L58" s="42">
        <f t="shared" si="39"/>
        <v>-0.7248166939</v>
      </c>
      <c r="M58" s="42">
        <f t="shared" si="39"/>
        <v>1.604950265</v>
      </c>
      <c r="N58" s="43">
        <f t="shared" si="39"/>
        <v>-0.8442737521</v>
      </c>
      <c r="O58" s="35"/>
      <c r="P58" s="44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>
      <c r="A59" s="35"/>
      <c r="B59" s="35"/>
      <c r="C59" s="35"/>
      <c r="D59" s="35"/>
      <c r="E59" s="35"/>
      <c r="F59" s="35"/>
      <c r="G59" s="35"/>
      <c r="H59" s="35"/>
      <c r="I59" s="35"/>
      <c r="J59" s="45">
        <f t="shared" ref="J59:N59" si="40">NORMINV(rand(),0, 1)</f>
        <v>0.02250232946</v>
      </c>
      <c r="K59" s="46">
        <f t="shared" si="40"/>
        <v>-0.3337535652</v>
      </c>
      <c r="L59" s="46">
        <f t="shared" si="40"/>
        <v>-0.539046151</v>
      </c>
      <c r="M59" s="46">
        <f t="shared" si="40"/>
        <v>-1.36124323</v>
      </c>
      <c r="N59" s="47">
        <f t="shared" si="40"/>
        <v>1.551043163</v>
      </c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48" t="s">
        <v>2</v>
      </c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>
      <c r="A61" s="35"/>
      <c r="B61" s="37" t="s">
        <v>9</v>
      </c>
      <c r="C61" s="38">
        <f t="shared" ref="C61:G61" si="41">NORMINV(rand(),0, 1)</f>
        <v>0.3940892295</v>
      </c>
      <c r="D61" s="39">
        <f t="shared" si="41"/>
        <v>0.3837377402</v>
      </c>
      <c r="E61" s="39">
        <f t="shared" si="41"/>
        <v>-0.3219210898</v>
      </c>
      <c r="F61" s="39">
        <f t="shared" si="41"/>
        <v>0.9704360078</v>
      </c>
      <c r="G61" s="40">
        <f t="shared" si="41"/>
        <v>0.4920987047</v>
      </c>
      <c r="H61" s="35"/>
      <c r="I61" s="37" t="s">
        <v>10</v>
      </c>
      <c r="J61" s="49">
        <f t="array" ref="J61:N65">MMULT(J55:N59,C61:G65)</f>
        <v>2.100589121</v>
      </c>
      <c r="K61" s="50">
        <v>-0.11466170783015678</v>
      </c>
      <c r="L61" s="51">
        <v>0.5816879585651683</v>
      </c>
      <c r="M61" s="52">
        <v>4.718724001048123</v>
      </c>
      <c r="N61" s="53">
        <v>1.4795344934886185</v>
      </c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>
      <c r="A62" s="35"/>
      <c r="B62" s="37" t="s">
        <v>11</v>
      </c>
      <c r="C62" s="41">
        <f t="shared" ref="C62:G62" si="42">NORMINV(rand(),0, 1)</f>
        <v>0.7588349114</v>
      </c>
      <c r="D62" s="42">
        <f t="shared" si="42"/>
        <v>1.184048975</v>
      </c>
      <c r="E62" s="42">
        <f t="shared" si="42"/>
        <v>0.1396582309</v>
      </c>
      <c r="F62" s="42">
        <f t="shared" si="42"/>
        <v>1.747237383</v>
      </c>
      <c r="G62" s="43">
        <f t="shared" si="42"/>
        <v>-1.053322403</v>
      </c>
      <c r="H62" s="35"/>
      <c r="I62" s="35"/>
      <c r="J62" s="54">
        <v>-1.5826420476077034</v>
      </c>
      <c r="K62" s="55">
        <v>-0.22888112574549097</v>
      </c>
      <c r="L62" s="56">
        <v>0.2543758189530123</v>
      </c>
      <c r="M62" s="57">
        <v>-4.572463404070291</v>
      </c>
      <c r="N62" s="58">
        <v>-0.6281890785089339</v>
      </c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>
      <c r="A63" s="35"/>
      <c r="B63" s="35"/>
      <c r="C63" s="41">
        <f t="shared" ref="C63:G63" si="43">NORMINV(rand(),0, 1)</f>
        <v>0.141127741</v>
      </c>
      <c r="D63" s="42">
        <f t="shared" si="43"/>
        <v>-0.6498456974</v>
      </c>
      <c r="E63" s="42">
        <f t="shared" si="43"/>
        <v>0.2690113181</v>
      </c>
      <c r="F63" s="42">
        <f t="shared" si="43"/>
        <v>0.4866889714</v>
      </c>
      <c r="G63" s="43">
        <f t="shared" si="43"/>
        <v>-0.1340516929</v>
      </c>
      <c r="H63" s="48" t="s">
        <v>12</v>
      </c>
      <c r="I63" s="48" t="s">
        <v>12</v>
      </c>
      <c r="J63" s="59">
        <v>-0.26213240039918073</v>
      </c>
      <c r="K63" s="60">
        <v>4.138562611325458</v>
      </c>
      <c r="L63" s="61">
        <v>-0.9273696967398465</v>
      </c>
      <c r="M63" s="62">
        <v>-2.451495306223147</v>
      </c>
      <c r="N63" s="63">
        <v>-3.0355369961782985</v>
      </c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>
      <c r="A64" s="35"/>
      <c r="B64" s="35"/>
      <c r="C64" s="41">
        <f t="shared" ref="C64:G64" si="44">NORMINV(rand(),0, 1)</f>
        <v>0.5161206685</v>
      </c>
      <c r="D64" s="42">
        <f t="shared" si="44"/>
        <v>-1.81681453</v>
      </c>
      <c r="E64" s="42">
        <f t="shared" si="44"/>
        <v>1.057039202</v>
      </c>
      <c r="F64" s="42">
        <f t="shared" si="44"/>
        <v>1.292390242</v>
      </c>
      <c r="G64" s="43">
        <f t="shared" si="44"/>
        <v>1.102479876</v>
      </c>
      <c r="H64" s="35"/>
      <c r="I64" s="35"/>
      <c r="J64" s="64">
        <v>-0.35423959454697224</v>
      </c>
      <c r="K64" s="65">
        <v>-4.626635421702653</v>
      </c>
      <c r="L64" s="66">
        <v>0.8855985998755858</v>
      </c>
      <c r="M64" s="67">
        <v>0.8533540130787145</v>
      </c>
      <c r="N64" s="68">
        <v>3.487348813813619</v>
      </c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>
      <c r="A65" s="35"/>
      <c r="B65" s="35"/>
      <c r="C65" s="45">
        <f t="shared" ref="C65:G65" si="45">NORMINV(rand(),0, 1)</f>
        <v>0.3703826334</v>
      </c>
      <c r="D65" s="46">
        <f t="shared" si="45"/>
        <v>1.186677802</v>
      </c>
      <c r="E65" s="46">
        <f t="shared" si="45"/>
        <v>0.5982364898</v>
      </c>
      <c r="F65" s="46">
        <f t="shared" si="45"/>
        <v>-1.070926565</v>
      </c>
      <c r="G65" s="47">
        <f t="shared" si="45"/>
        <v>-0.7526623694</v>
      </c>
      <c r="H65" s="35"/>
      <c r="I65" s="35"/>
      <c r="J65" s="69">
        <v>-0.4485566119763674</v>
      </c>
      <c r="K65" s="70">
        <v>4.277466219136267</v>
      </c>
      <c r="L65" s="71">
        <v>-0.7098617636395219</v>
      </c>
      <c r="M65" s="72">
        <v>-4.243968245625455</v>
      </c>
      <c r="N65" s="73">
        <v>-2.23327156608373</v>
      </c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48" t="s">
        <v>2</v>
      </c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>
      <c r="A67" s="35"/>
      <c r="B67" s="37" t="s">
        <v>15</v>
      </c>
      <c r="C67" s="74">
        <f t="shared" ref="C67:G67" si="46">NORMINV(rand(),0, 1)</f>
        <v>0.8587924137</v>
      </c>
      <c r="D67" s="75">
        <f t="shared" si="46"/>
        <v>-0.7421308054</v>
      </c>
      <c r="E67" s="76">
        <f t="shared" si="46"/>
        <v>1.395652623</v>
      </c>
      <c r="F67" s="77">
        <f t="shared" si="46"/>
        <v>0.975803389</v>
      </c>
      <c r="G67" s="78">
        <f t="shared" si="46"/>
        <v>2.342105663</v>
      </c>
      <c r="H67" s="35"/>
      <c r="I67" s="37" t="s">
        <v>16</v>
      </c>
      <c r="J67" s="79">
        <f t="array" ref="J67:N71">MMULT(J61:N65,C67:G71)</f>
        <v>-3.245961417</v>
      </c>
      <c r="K67" s="80">
        <v>-9.33129609505818</v>
      </c>
      <c r="L67" s="81">
        <v>5.53235792918827</v>
      </c>
      <c r="M67" s="80">
        <v>1.942034168669235</v>
      </c>
      <c r="N67" s="82">
        <v>5.4210549187667265</v>
      </c>
      <c r="O67" s="35"/>
      <c r="P67" s="35"/>
      <c r="Q67" s="35"/>
      <c r="R67" s="35"/>
      <c r="S67" s="35"/>
      <c r="T67" s="35"/>
      <c r="U67" s="35"/>
      <c r="V67" s="35"/>
      <c r="W67" s="44"/>
      <c r="X67" s="35"/>
      <c r="Y67" s="35"/>
      <c r="Z67" s="35"/>
    </row>
    <row r="68">
      <c r="A68" s="35"/>
      <c r="B68" s="37" t="s">
        <v>11</v>
      </c>
      <c r="C68" s="83">
        <f t="shared" ref="C68:G68" si="47">NORMINV(rand(),0, 1)</f>
        <v>-0.9993823642</v>
      </c>
      <c r="D68" s="84">
        <f t="shared" si="47"/>
        <v>0.6321499771</v>
      </c>
      <c r="E68" s="85">
        <f t="shared" si="47"/>
        <v>-0.3413851801</v>
      </c>
      <c r="F68" s="86">
        <f t="shared" si="47"/>
        <v>0.795371268</v>
      </c>
      <c r="G68" s="87">
        <f t="shared" si="47"/>
        <v>0.09477253223</v>
      </c>
      <c r="H68" s="35"/>
      <c r="I68" s="37" t="s">
        <v>17</v>
      </c>
      <c r="J68" s="88">
        <v>0.6534940342345992</v>
      </c>
      <c r="K68" s="89">
        <v>7.38159602284472</v>
      </c>
      <c r="L68" s="90">
        <v>-2.391174808864668</v>
      </c>
      <c r="M68" s="91">
        <v>-0.3633540809195657</v>
      </c>
      <c r="N68" s="92">
        <v>-3.3704414529979005</v>
      </c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>
      <c r="A69" s="35"/>
      <c r="B69" s="35"/>
      <c r="C69" s="93">
        <f t="shared" ref="C69:G69" si="48">NORMINV(rand(),0, 1)</f>
        <v>-2.476121817</v>
      </c>
      <c r="D69" s="94">
        <f t="shared" si="48"/>
        <v>-0.8317713922</v>
      </c>
      <c r="E69" s="95">
        <f t="shared" si="48"/>
        <v>0.9261116181</v>
      </c>
      <c r="F69" s="96">
        <f t="shared" si="48"/>
        <v>0.9463818483</v>
      </c>
      <c r="G69" s="97">
        <f t="shared" si="48"/>
        <v>0.4532133076</v>
      </c>
      <c r="H69" s="48" t="s">
        <v>12</v>
      </c>
      <c r="I69" s="48" t="s">
        <v>12</v>
      </c>
      <c r="J69" s="98">
        <v>3.2329948119908156</v>
      </c>
      <c r="K69" s="99">
        <v>8.538531153473512</v>
      </c>
      <c r="L69" s="100">
        <v>-7.8086957758716675</v>
      </c>
      <c r="M69" s="101">
        <v>0.8406713363655873</v>
      </c>
      <c r="N69" s="102">
        <v>-2.1317380101620693</v>
      </c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>
      <c r="A70" s="35"/>
      <c r="B70" s="35"/>
      <c r="C70" s="103">
        <f t="shared" ref="C70:G70" si="49">NORMINV(rand(),0, 1)</f>
        <v>-0.3240774573</v>
      </c>
      <c r="D70" s="104">
        <f t="shared" si="49"/>
        <v>-1.362223468</v>
      </c>
      <c r="E70" s="84">
        <f t="shared" si="49"/>
        <v>-0.141218256</v>
      </c>
      <c r="F70" s="104">
        <f t="shared" si="49"/>
        <v>-0.3431543776</v>
      </c>
      <c r="G70" s="105">
        <f t="shared" si="49"/>
        <v>-0.1355351121</v>
      </c>
      <c r="H70" s="35"/>
      <c r="I70" s="35"/>
      <c r="J70" s="59">
        <v>-3.323491535423036</v>
      </c>
      <c r="K70" s="106">
        <v>-6.41853755305569</v>
      </c>
      <c r="L70" s="107">
        <v>8.123284949341397</v>
      </c>
      <c r="M70" s="108">
        <v>-1.0001287639031813</v>
      </c>
      <c r="N70" s="109">
        <v>1.1107326625429634</v>
      </c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>
      <c r="A71" s="35"/>
      <c r="B71" s="35"/>
      <c r="C71" s="110">
        <f t="shared" ref="C71:G71" si="50">NORMINV(rand(),0, 1)</f>
        <v>-1.483547694</v>
      </c>
      <c r="D71" s="111">
        <f t="shared" si="50"/>
        <v>-0.5326762101</v>
      </c>
      <c r="E71" s="112">
        <f t="shared" si="50"/>
        <v>1.817587501</v>
      </c>
      <c r="F71" s="113">
        <f t="shared" si="50"/>
        <v>0.7111849639</v>
      </c>
      <c r="G71" s="114">
        <f t="shared" si="50"/>
        <v>0.6002185759</v>
      </c>
      <c r="H71" s="35"/>
      <c r="I71" s="35"/>
      <c r="J71" s="115">
        <v>1.7862022023203084</v>
      </c>
      <c r="K71" s="116">
        <v>10.59817433478261</v>
      </c>
      <c r="L71" s="117">
        <v>-6.203544704611904</v>
      </c>
      <c r="M71" s="118">
        <v>2.1607375041390053</v>
      </c>
      <c r="N71" s="119">
        <v>-1.7321438405601768</v>
      </c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48" t="s">
        <v>2</v>
      </c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>
      <c r="A73" s="35"/>
      <c r="B73" s="35"/>
      <c r="C73" s="35"/>
      <c r="D73" s="35"/>
      <c r="E73" s="35"/>
      <c r="F73" s="35"/>
      <c r="G73" s="35"/>
      <c r="H73" s="35"/>
      <c r="I73" s="120" t="s">
        <v>18</v>
      </c>
      <c r="J73" s="121">
        <f t="shared" ref="J73:N73" si="51">Max(0,J67)</f>
        <v>0</v>
      </c>
      <c r="K73" s="122">
        <f t="shared" si="51"/>
        <v>0</v>
      </c>
      <c r="L73" s="122">
        <f t="shared" si="51"/>
        <v>5.532357929</v>
      </c>
      <c r="M73" s="122">
        <f t="shared" si="51"/>
        <v>1.942034169</v>
      </c>
      <c r="N73" s="123">
        <f t="shared" si="51"/>
        <v>5.421054919</v>
      </c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>
      <c r="A74" s="35"/>
      <c r="B74" s="35"/>
      <c r="C74" s="35"/>
      <c r="D74" s="35"/>
      <c r="E74" s="35"/>
      <c r="F74" s="35"/>
      <c r="G74" s="35"/>
      <c r="H74" s="35"/>
      <c r="I74" s="35"/>
      <c r="J74" s="124">
        <f t="shared" ref="J74:N74" si="52">Max(0,J68)</f>
        <v>0.6534940342</v>
      </c>
      <c r="K74" s="125">
        <f t="shared" si="52"/>
        <v>7.381596023</v>
      </c>
      <c r="L74" s="125">
        <f t="shared" si="52"/>
        <v>0</v>
      </c>
      <c r="M74" s="125">
        <f t="shared" si="52"/>
        <v>0</v>
      </c>
      <c r="N74" s="126">
        <f t="shared" si="52"/>
        <v>0</v>
      </c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>
      <c r="A75" s="35"/>
      <c r="B75" s="35"/>
      <c r="C75" s="35"/>
      <c r="D75" s="35"/>
      <c r="E75" s="35"/>
      <c r="F75" s="35"/>
      <c r="G75" s="35"/>
      <c r="H75" s="35"/>
      <c r="I75" s="35"/>
      <c r="J75" s="124">
        <f t="shared" ref="J75:N75" si="53">Max(0,J69)</f>
        <v>3.232994812</v>
      </c>
      <c r="K75" s="125">
        <f t="shared" si="53"/>
        <v>8.538531153</v>
      </c>
      <c r="L75" s="125">
        <f t="shared" si="53"/>
        <v>0</v>
      </c>
      <c r="M75" s="125">
        <f t="shared" si="53"/>
        <v>0.8406713364</v>
      </c>
      <c r="N75" s="126">
        <f t="shared" si="53"/>
        <v>0</v>
      </c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>
      <c r="A76" s="35"/>
      <c r="B76" s="35"/>
      <c r="C76" s="35"/>
      <c r="D76" s="35"/>
      <c r="E76" s="35"/>
      <c r="F76" s="35"/>
      <c r="G76" s="35"/>
      <c r="H76" s="35"/>
      <c r="I76" s="35"/>
      <c r="J76" s="124">
        <f t="shared" ref="J76:N76" si="54">Max(0,J70)</f>
        <v>0</v>
      </c>
      <c r="K76" s="125">
        <f t="shared" si="54"/>
        <v>0</v>
      </c>
      <c r="L76" s="125">
        <f t="shared" si="54"/>
        <v>8.123284949</v>
      </c>
      <c r="M76" s="125">
        <f t="shared" si="54"/>
        <v>0</v>
      </c>
      <c r="N76" s="126">
        <f t="shared" si="54"/>
        <v>1.110732663</v>
      </c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>
      <c r="A77" s="35"/>
      <c r="B77" s="35"/>
      <c r="C77" s="35"/>
      <c r="D77" s="35"/>
      <c r="E77" s="35"/>
      <c r="F77" s="35"/>
      <c r="G77" s="35"/>
      <c r="H77" s="35"/>
      <c r="I77" s="35"/>
      <c r="J77" s="127">
        <f t="shared" ref="J77:N77" si="55">Max(0,J71)</f>
        <v>1.786202202</v>
      </c>
      <c r="K77" s="128">
        <f t="shared" si="55"/>
        <v>10.59817433</v>
      </c>
      <c r="L77" s="128">
        <f t="shared" si="55"/>
        <v>0</v>
      </c>
      <c r="M77" s="128">
        <f t="shared" si="55"/>
        <v>2.160737504</v>
      </c>
      <c r="N77" s="129">
        <f t="shared" si="55"/>
        <v>0</v>
      </c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48" t="s">
        <v>2</v>
      </c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>
      <c r="A79" s="35"/>
      <c r="B79" s="35"/>
      <c r="C79" s="35"/>
      <c r="D79" s="35"/>
      <c r="E79" s="35"/>
      <c r="F79" s="35"/>
      <c r="G79" s="35"/>
      <c r="H79" s="35"/>
      <c r="I79" s="37" t="s">
        <v>13</v>
      </c>
      <c r="J79" s="134">
        <f t="array" ref="J79:N83">J67:N71+ J55:N59</f>
        <v>-0.7547867585</v>
      </c>
      <c r="K79" s="135">
        <v>-8.720152496409115</v>
      </c>
      <c r="L79" s="136">
        <v>5.880647873490073</v>
      </c>
      <c r="M79" s="137">
        <v>2.9532281202471715</v>
      </c>
      <c r="N79" s="138">
        <v>5.647943119871659</v>
      </c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>
      <c r="A80" s="35"/>
      <c r="B80" s="35"/>
      <c r="C80" s="35"/>
      <c r="D80" s="35"/>
      <c r="E80" s="35"/>
      <c r="F80" s="35"/>
      <c r="G80" s="35"/>
      <c r="H80" s="35"/>
      <c r="I80" s="35"/>
      <c r="J80" s="139">
        <v>-1.5436210884304968</v>
      </c>
      <c r="K80" s="140">
        <v>6.645171676075575</v>
      </c>
      <c r="L80" s="141">
        <v>-3.5060709653994495</v>
      </c>
      <c r="M80" s="142">
        <v>-0.5834015563351904</v>
      </c>
      <c r="N80" s="143">
        <v>-3.0654711923039266</v>
      </c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>
      <c r="A81" s="35"/>
      <c r="B81" s="35"/>
      <c r="C81" s="35"/>
      <c r="D81" s="35"/>
      <c r="E81" s="35"/>
      <c r="F81" s="35"/>
      <c r="G81" s="35"/>
      <c r="H81" s="35"/>
      <c r="I81" s="35"/>
      <c r="J81" s="144">
        <v>2.9380793087814445</v>
      </c>
      <c r="K81" s="145">
        <v>8.945487087858845</v>
      </c>
      <c r="L81" s="146">
        <v>-7.533891194778083</v>
      </c>
      <c r="M81" s="141">
        <v>-0.7526800335608692</v>
      </c>
      <c r="N81" s="147">
        <v>-1.2438527599378086</v>
      </c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>
      <c r="A82" s="35"/>
      <c r="B82" s="35"/>
      <c r="C82" s="35"/>
      <c r="D82" s="35"/>
      <c r="E82" s="35"/>
      <c r="F82" s="35"/>
      <c r="G82" s="35"/>
      <c r="H82" s="35"/>
      <c r="I82" s="35"/>
      <c r="J82" s="148">
        <v>-3.40064276248537</v>
      </c>
      <c r="K82" s="106">
        <v>-7.390009794676692</v>
      </c>
      <c r="L82" s="149">
        <v>7.3984682554047145</v>
      </c>
      <c r="M82" s="150">
        <v>0.6048215010408065</v>
      </c>
      <c r="N82" s="151">
        <v>0.26645891046844883</v>
      </c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>
      <c r="A83" s="35"/>
      <c r="B83" s="35"/>
      <c r="C83" s="35"/>
      <c r="D83" s="35"/>
      <c r="E83" s="35"/>
      <c r="F83" s="35"/>
      <c r="G83" s="35"/>
      <c r="H83" s="35"/>
      <c r="I83" s="35"/>
      <c r="J83" s="152">
        <v>1.8087045317767387</v>
      </c>
      <c r="K83" s="153">
        <v>10.264420769602294</v>
      </c>
      <c r="L83" s="154">
        <v>-6.7425908556459575</v>
      </c>
      <c r="M83" s="155">
        <v>0.7994942737780906</v>
      </c>
      <c r="N83" s="156">
        <v>-0.18110067804141972</v>
      </c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>
      <c r="A85" s="3" t="s">
        <v>19</v>
      </c>
    </row>
    <row r="86">
      <c r="B86" s="1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B87" s="1"/>
      <c r="C87" s="2"/>
      <c r="D87" s="2"/>
      <c r="E87" s="2"/>
      <c r="F87" s="2"/>
      <c r="G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I88" s="4" t="s">
        <v>8</v>
      </c>
      <c r="J88" s="34">
        <f t="shared" ref="J88:N88" si="56">rand()</f>
        <v>0.2358296402</v>
      </c>
      <c r="K88" s="25">
        <f t="shared" si="56"/>
        <v>0.9021843111</v>
      </c>
      <c r="L88" s="25">
        <f t="shared" si="56"/>
        <v>0.4957088129</v>
      </c>
      <c r="M88" s="25">
        <f t="shared" si="56"/>
        <v>0.4939770281</v>
      </c>
      <c r="N88" s="26">
        <f t="shared" si="56"/>
        <v>0.768866621</v>
      </c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I89" s="1"/>
      <c r="J89" s="27">
        <f t="shared" ref="J89:N89" si="57">rand()</f>
        <v>0.5806343056</v>
      </c>
      <c r="K89" s="28">
        <f t="shared" si="57"/>
        <v>0.9185061528</v>
      </c>
      <c r="L89" s="28">
        <f t="shared" si="57"/>
        <v>0.6729000979</v>
      </c>
      <c r="M89" s="28">
        <f t="shared" si="57"/>
        <v>0.3126588379</v>
      </c>
      <c r="N89" s="29">
        <f t="shared" si="57"/>
        <v>0.9889894795</v>
      </c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I90" s="1"/>
      <c r="J90" s="27">
        <f t="shared" ref="J90:N90" si="58">rand()</f>
        <v>0.3778275833</v>
      </c>
      <c r="K90" s="28">
        <f t="shared" si="58"/>
        <v>0.5556251487</v>
      </c>
      <c r="L90" s="28">
        <f t="shared" si="58"/>
        <v>0.3770927148</v>
      </c>
      <c r="M90" s="28">
        <f t="shared" si="58"/>
        <v>0.4757237034</v>
      </c>
      <c r="N90" s="29">
        <f t="shared" si="58"/>
        <v>0.4719573206</v>
      </c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I91" s="1"/>
      <c r="J91" s="27">
        <f t="shared" ref="J91:N91" si="59">rand()</f>
        <v>0.6592363381</v>
      </c>
      <c r="K91" s="28">
        <f t="shared" si="59"/>
        <v>0.8776885022</v>
      </c>
      <c r="L91" s="28">
        <f t="shared" si="59"/>
        <v>0.294689927</v>
      </c>
      <c r="M91" s="28">
        <f t="shared" si="59"/>
        <v>0.4384533131</v>
      </c>
      <c r="N91" s="29">
        <f t="shared" si="59"/>
        <v>0.1398304777</v>
      </c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I92" s="1"/>
      <c r="J92" s="31">
        <f t="shared" ref="J92:N92" si="60">rand()</f>
        <v>0.3492577444</v>
      </c>
      <c r="K92" s="32">
        <f t="shared" si="60"/>
        <v>0.02038599585</v>
      </c>
      <c r="L92" s="32">
        <f t="shared" si="60"/>
        <v>0.09540735835</v>
      </c>
      <c r="M92" s="32">
        <f t="shared" si="60"/>
        <v>0.001172267075</v>
      </c>
      <c r="N92" s="33">
        <f t="shared" si="60"/>
        <v>0.4548763881</v>
      </c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B93" s="1"/>
      <c r="C93" s="2"/>
      <c r="D93" s="2"/>
      <c r="E93" s="14"/>
      <c r="F93" s="2"/>
      <c r="G93" s="2"/>
      <c r="I93" s="2"/>
      <c r="J93" s="2"/>
      <c r="K93" s="2"/>
      <c r="L93" s="14" t="s">
        <v>2</v>
      </c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B94" s="4" t="s">
        <v>9</v>
      </c>
      <c r="C94" s="34">
        <f t="shared" ref="C94:G94" si="61">rand()</f>
        <v>0.2350152666</v>
      </c>
      <c r="D94" s="25">
        <f t="shared" si="61"/>
        <v>0.5168321846</v>
      </c>
      <c r="E94" s="25">
        <f t="shared" si="61"/>
        <v>0.316744614</v>
      </c>
      <c r="F94" s="25">
        <f t="shared" si="61"/>
        <v>0.3864213809</v>
      </c>
      <c r="G94" s="26">
        <f t="shared" si="61"/>
        <v>0.3586591734</v>
      </c>
      <c r="I94" s="4" t="s">
        <v>10</v>
      </c>
      <c r="J94" s="5">
        <f t="array" ref="J94:N98">MMULT(J88:N92,C94:G98)</f>
        <v>1.511671427</v>
      </c>
      <c r="K94" s="6">
        <v>1.4084624198145244</v>
      </c>
      <c r="L94" s="6">
        <v>1.5722795833136234</v>
      </c>
      <c r="M94" s="6">
        <v>1.1381362654426184</v>
      </c>
      <c r="N94" s="7">
        <v>1.3413559902556154</v>
      </c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B95" s="4" t="s">
        <v>11</v>
      </c>
      <c r="C95" s="27">
        <f t="shared" ref="C95:G95" si="62">rand()</f>
        <v>0.7098936325</v>
      </c>
      <c r="D95" s="28">
        <f t="shared" si="62"/>
        <v>0.2334194384</v>
      </c>
      <c r="E95" s="28">
        <f t="shared" si="62"/>
        <v>0.8611580652</v>
      </c>
      <c r="F95" s="28">
        <f t="shared" si="62"/>
        <v>0.3325072573</v>
      </c>
      <c r="G95" s="29">
        <f t="shared" si="62"/>
        <v>0.5809861616</v>
      </c>
      <c r="I95" s="1"/>
      <c r="J95" s="8">
        <v>1.8382324757777782</v>
      </c>
      <c r="K95" s="9">
        <v>1.589430136562945</v>
      </c>
      <c r="L95" s="9">
        <v>1.8545112187705133</v>
      </c>
      <c r="M95" s="9">
        <v>1.395990976821585</v>
      </c>
      <c r="N95" s="10">
        <v>1.6029711664726916</v>
      </c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B96" s="1"/>
      <c r="C96" s="27">
        <f t="shared" ref="C96:G96" si="63">rand()</f>
        <v>0.4666952494</v>
      </c>
      <c r="D96" s="28">
        <f t="shared" si="63"/>
        <v>0.1952774708</v>
      </c>
      <c r="E96" s="28">
        <f t="shared" si="63"/>
        <v>0.5157880801</v>
      </c>
      <c r="F96" s="28">
        <f t="shared" si="63"/>
        <v>0.7771504589</v>
      </c>
      <c r="G96" s="29">
        <f t="shared" si="63"/>
        <v>0.7603707202</v>
      </c>
      <c r="H96" s="14" t="s">
        <v>12</v>
      </c>
      <c r="I96" s="14" t="s">
        <v>12</v>
      </c>
      <c r="J96" s="8">
        <v>1.026566268726984</v>
      </c>
      <c r="K96" s="9">
        <v>1.16855917332965</v>
      </c>
      <c r="L96" s="9">
        <v>1.1131133161137283</v>
      </c>
      <c r="M96" s="9">
        <v>0.9111414295587619</v>
      </c>
      <c r="N96" s="10">
        <v>1.0211684274055293</v>
      </c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B97" s="1"/>
      <c r="C97" s="27">
        <f t="shared" ref="C97:G97" si="64">rand()</f>
        <v>0.04982037874</v>
      </c>
      <c r="D97" s="28">
        <f t="shared" si="64"/>
        <v>0.9790720924</v>
      </c>
      <c r="E97" s="28">
        <f t="shared" si="64"/>
        <v>0.2031135465</v>
      </c>
      <c r="F97" s="28">
        <f t="shared" si="64"/>
        <v>0.3783012374</v>
      </c>
      <c r="G97" s="29">
        <f t="shared" si="64"/>
        <v>0.3349419079</v>
      </c>
      <c r="I97" s="1"/>
      <c r="J97" s="8">
        <v>1.039185700330836</v>
      </c>
      <c r="K97" s="9">
        <v>1.1225315264385571</v>
      </c>
      <c r="L97" s="9">
        <v>1.2720077646993102</v>
      </c>
      <c r="M97" s="9">
        <v>0.9732770364199161</v>
      </c>
      <c r="N97" s="10">
        <v>1.1518943036580949</v>
      </c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B98" s="1"/>
      <c r="C98" s="31">
        <f t="shared" ref="C98:G98" si="65">rand()</f>
        <v>0.7281339535</v>
      </c>
      <c r="D98" s="32">
        <f t="shared" si="65"/>
        <v>0.6445211916</v>
      </c>
      <c r="E98" s="32">
        <f t="shared" si="65"/>
        <v>0.4742622273</v>
      </c>
      <c r="F98" s="32">
        <f t="shared" si="65"/>
        <v>0.2274924703</v>
      </c>
      <c r="G98" s="33">
        <f t="shared" si="65"/>
        <v>0.2474302382</v>
      </c>
      <c r="I98" s="1"/>
      <c r="J98" s="11">
        <v>0.47234829705011483</v>
      </c>
      <c r="K98" s="12">
        <v>0.49822224401256676</v>
      </c>
      <c r="L98" s="12">
        <v>0.39335984466612584</v>
      </c>
      <c r="M98" s="12">
        <v>0.3198094470839524</v>
      </c>
      <c r="N98" s="13">
        <v>0.3225962516079993</v>
      </c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B99" s="1"/>
      <c r="C99" s="2"/>
      <c r="D99" s="2"/>
      <c r="F99" s="2"/>
      <c r="G99" s="2"/>
      <c r="H99" s="2"/>
      <c r="I99" s="2"/>
      <c r="J99" s="2"/>
      <c r="K99" s="2"/>
      <c r="L99" s="14" t="s">
        <v>2</v>
      </c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H100" s="2"/>
      <c r="I100" s="4" t="s">
        <v>13</v>
      </c>
      <c r="J100" s="5">
        <f t="array" ref="J100:N104">J94:N98</f>
        <v>1.511671427</v>
      </c>
      <c r="K100" s="6">
        <v>1.4084624198145244</v>
      </c>
      <c r="L100" s="6">
        <v>1.5722795833136234</v>
      </c>
      <c r="M100" s="6">
        <v>1.1381362654426184</v>
      </c>
      <c r="N100" s="6">
        <v>1.3413559902556154</v>
      </c>
      <c r="O100" s="25">
        <f t="array" ref="O100:S104">J88:N92</f>
        <v>0.2358296402</v>
      </c>
      <c r="P100" s="25">
        <v>0.9021843110788318</v>
      </c>
      <c r="Q100" s="25">
        <v>0.49570881288506785</v>
      </c>
      <c r="R100" s="25">
        <v>0.4939770281025594</v>
      </c>
      <c r="S100" s="26">
        <v>0.768866621048458</v>
      </c>
      <c r="T100" s="2"/>
      <c r="U100" s="2"/>
      <c r="V100" s="2"/>
      <c r="W100" s="2"/>
      <c r="X100" s="2"/>
      <c r="Y100" s="2"/>
      <c r="Z100" s="2"/>
    </row>
    <row r="101">
      <c r="H101" s="2"/>
      <c r="I101" s="1"/>
      <c r="J101" s="8">
        <v>1.8382324757777782</v>
      </c>
      <c r="K101" s="9">
        <v>1.589430136562945</v>
      </c>
      <c r="L101" s="9">
        <v>1.8545112187705133</v>
      </c>
      <c r="M101" s="9">
        <v>1.395990976821585</v>
      </c>
      <c r="N101" s="9">
        <v>1.6029711664726916</v>
      </c>
      <c r="O101" s="28">
        <v>0.580634305596292</v>
      </c>
      <c r="P101" s="28">
        <v>0.9185061527795868</v>
      </c>
      <c r="Q101" s="28">
        <v>0.672900097936818</v>
      </c>
      <c r="R101" s="28">
        <v>0.3126588379123114</v>
      </c>
      <c r="S101" s="29">
        <v>0.9889894794611459</v>
      </c>
      <c r="T101" s="2"/>
      <c r="U101" s="2"/>
      <c r="V101" s="2"/>
      <c r="W101" s="2"/>
      <c r="X101" s="2"/>
      <c r="Y101" s="2"/>
      <c r="Z101" s="2"/>
    </row>
    <row r="102">
      <c r="H102" s="2"/>
      <c r="I102" s="1"/>
      <c r="J102" s="8">
        <v>1.026566268726984</v>
      </c>
      <c r="K102" s="9">
        <v>1.16855917332965</v>
      </c>
      <c r="L102" s="9">
        <v>1.1131133161137283</v>
      </c>
      <c r="M102" s="9">
        <v>0.9111414295587619</v>
      </c>
      <c r="N102" s="9">
        <v>1.0211684274055293</v>
      </c>
      <c r="O102" s="28">
        <v>0.37782758334321564</v>
      </c>
      <c r="P102" s="28">
        <v>0.5556251487404371</v>
      </c>
      <c r="Q102" s="28">
        <v>0.37709271482329454</v>
      </c>
      <c r="R102" s="28">
        <v>0.47572370335099934</v>
      </c>
      <c r="S102" s="29">
        <v>0.47195732055792605</v>
      </c>
      <c r="T102" s="2"/>
      <c r="U102" s="2"/>
      <c r="V102" s="2"/>
      <c r="W102" s="2"/>
      <c r="X102" s="2"/>
      <c r="Y102" s="2"/>
      <c r="Z102" s="2"/>
    </row>
    <row r="103">
      <c r="H103" s="2"/>
      <c r="I103" s="1"/>
      <c r="J103" s="8">
        <v>1.039185700330836</v>
      </c>
      <c r="K103" s="9">
        <v>1.1225315264385571</v>
      </c>
      <c r="L103" s="9">
        <v>1.2720077646993102</v>
      </c>
      <c r="M103" s="9">
        <v>0.9732770364199161</v>
      </c>
      <c r="N103" s="9">
        <v>1.1518943036580949</v>
      </c>
      <c r="O103" s="28">
        <v>0.6592363381104067</v>
      </c>
      <c r="P103" s="28">
        <v>0.8776885021731995</v>
      </c>
      <c r="Q103" s="28">
        <v>0.2946899269527926</v>
      </c>
      <c r="R103" s="28">
        <v>0.4384533131406938</v>
      </c>
      <c r="S103" s="29">
        <v>0.13983047769343349</v>
      </c>
      <c r="T103" s="2"/>
      <c r="U103" s="2"/>
      <c r="V103" s="2"/>
      <c r="W103" s="2"/>
      <c r="X103" s="2"/>
      <c r="Y103" s="2"/>
      <c r="Z103" s="2"/>
    </row>
    <row r="104">
      <c r="H104" s="2"/>
      <c r="I104" s="1"/>
      <c r="J104" s="11">
        <v>0.47234829705011483</v>
      </c>
      <c r="K104" s="12">
        <v>0.49822224401256676</v>
      </c>
      <c r="L104" s="12">
        <v>0.39335984466612584</v>
      </c>
      <c r="M104" s="12">
        <v>0.3198094470839524</v>
      </c>
      <c r="N104" s="12">
        <v>0.3225962516079993</v>
      </c>
      <c r="O104" s="32">
        <v>0.34925774443907764</v>
      </c>
      <c r="P104" s="32">
        <v>0.02038599584835976</v>
      </c>
      <c r="Q104" s="32">
        <v>0.09540735834980196</v>
      </c>
      <c r="R104" s="32">
        <v>0.0011722670754148456</v>
      </c>
      <c r="S104" s="33">
        <v>0.4548763880625667</v>
      </c>
      <c r="T104" s="2"/>
      <c r="U104" s="2"/>
      <c r="V104" s="2"/>
      <c r="W104" s="2"/>
      <c r="X104" s="2"/>
      <c r="Y104" s="2"/>
      <c r="Z104" s="2"/>
    </row>
    <row r="105">
      <c r="B105" s="1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3" t="s">
        <v>20</v>
      </c>
    </row>
    <row r="107">
      <c r="B107" s="1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B108" s="1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H109" s="2"/>
      <c r="I109" s="4" t="s">
        <v>8</v>
      </c>
      <c r="J109" s="34">
        <f t="shared" ref="J109:N109" si="66">rand()</f>
        <v>0.3891579069</v>
      </c>
      <c r="K109" s="25">
        <f t="shared" si="66"/>
        <v>0.4619444146</v>
      </c>
      <c r="L109" s="25">
        <f t="shared" si="66"/>
        <v>0.3553661557</v>
      </c>
      <c r="M109" s="25">
        <f t="shared" si="66"/>
        <v>0.9924321546</v>
      </c>
      <c r="N109" s="26">
        <f t="shared" si="66"/>
        <v>0.922974546</v>
      </c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H110" s="2"/>
      <c r="I110" s="1"/>
      <c r="J110" s="27">
        <f t="shared" ref="J110:N110" si="67">rand()</f>
        <v>0.7847177405</v>
      </c>
      <c r="K110" s="28">
        <f t="shared" si="67"/>
        <v>0.1961597757</v>
      </c>
      <c r="L110" s="28">
        <f t="shared" si="67"/>
        <v>0.9802871945</v>
      </c>
      <c r="M110" s="28">
        <f t="shared" si="67"/>
        <v>0.3293291918</v>
      </c>
      <c r="N110" s="29">
        <f t="shared" si="67"/>
        <v>0.9930314343</v>
      </c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H111" s="2"/>
      <c r="I111" s="1"/>
      <c r="J111" s="27">
        <f t="shared" ref="J111:N111" si="68">rand()</f>
        <v>0.1229357378</v>
      </c>
      <c r="K111" s="28">
        <f t="shared" si="68"/>
        <v>0.6452591866</v>
      </c>
      <c r="L111" s="28">
        <f t="shared" si="68"/>
        <v>0.6328587582</v>
      </c>
      <c r="M111" s="28">
        <f t="shared" si="68"/>
        <v>0.2148080784</v>
      </c>
      <c r="N111" s="29">
        <f t="shared" si="68"/>
        <v>0.610453285</v>
      </c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H112" s="2"/>
      <c r="I112" s="1"/>
      <c r="J112" s="27">
        <f t="shared" ref="J112:N112" si="69">rand()</f>
        <v>0.8979028237</v>
      </c>
      <c r="K112" s="28">
        <f t="shared" si="69"/>
        <v>0.9383267624</v>
      </c>
      <c r="L112" s="28">
        <f t="shared" si="69"/>
        <v>0.5928304924</v>
      </c>
      <c r="M112" s="28">
        <f t="shared" si="69"/>
        <v>0.03840261913</v>
      </c>
      <c r="N112" s="29">
        <f t="shared" si="69"/>
        <v>0.7357986265</v>
      </c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H113" s="2"/>
      <c r="I113" s="1"/>
      <c r="J113" s="31">
        <f t="shared" ref="J113:N113" si="70">rand()</f>
        <v>0.474275764</v>
      </c>
      <c r="K113" s="32">
        <f t="shared" si="70"/>
        <v>0.5122604541</v>
      </c>
      <c r="L113" s="32">
        <f t="shared" si="70"/>
        <v>0.9153868251</v>
      </c>
      <c r="M113" s="32">
        <f t="shared" si="70"/>
        <v>0.4698966052</v>
      </c>
      <c r="N113" s="33">
        <f t="shared" si="70"/>
        <v>0.2318766895</v>
      </c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B114" s="1"/>
      <c r="C114" s="2"/>
      <c r="D114" s="2"/>
      <c r="E114" s="14"/>
      <c r="F114" s="2"/>
      <c r="G114" s="2"/>
      <c r="H114" s="2"/>
      <c r="I114" s="1"/>
      <c r="J114" s="2"/>
      <c r="K114" s="2"/>
      <c r="L114" s="14" t="s">
        <v>2</v>
      </c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B115" s="4" t="s">
        <v>9</v>
      </c>
      <c r="C115" s="34">
        <f t="shared" ref="C115:G115" si="71">rand()</f>
        <v>0.09498838125</v>
      </c>
      <c r="D115" s="25">
        <f t="shared" si="71"/>
        <v>0.5399896487</v>
      </c>
      <c r="E115" s="25">
        <f t="shared" si="71"/>
        <v>0.4239575938</v>
      </c>
      <c r="F115" s="25">
        <f t="shared" si="71"/>
        <v>0.2244824398</v>
      </c>
      <c r="G115" s="26">
        <f t="shared" si="71"/>
        <v>0.07198618781</v>
      </c>
      <c r="H115" s="2"/>
      <c r="I115" s="4" t="s">
        <v>10</v>
      </c>
      <c r="J115" s="5">
        <f t="array" ref="J115:N119">MMULT(J109:N113,C115:G119)</f>
        <v>1.620124996</v>
      </c>
      <c r="K115" s="6">
        <v>1.7669915596330295</v>
      </c>
      <c r="L115" s="6">
        <v>0.8424364922964741</v>
      </c>
      <c r="M115" s="6">
        <v>1.0244638000184292</v>
      </c>
      <c r="N115" s="7">
        <v>1.290134687372186</v>
      </c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B116" s="4" t="s">
        <v>11</v>
      </c>
      <c r="C116" s="27">
        <f t="shared" ref="C116:G116" si="72">rand()</f>
        <v>0.1706176529</v>
      </c>
      <c r="D116" s="28">
        <f t="shared" si="72"/>
        <v>0.7734722642</v>
      </c>
      <c r="E116" s="28">
        <f t="shared" si="72"/>
        <v>0.2580212538</v>
      </c>
      <c r="F116" s="28">
        <f t="shared" si="72"/>
        <v>0.580639172</v>
      </c>
      <c r="G116" s="29">
        <f t="shared" si="72"/>
        <v>0.1572160536</v>
      </c>
      <c r="H116" s="2"/>
      <c r="I116" s="1"/>
      <c r="J116" s="8">
        <v>1.949360760915708</v>
      </c>
      <c r="K116" s="9">
        <v>1.8155796093680703</v>
      </c>
      <c r="L116" s="9">
        <v>1.1971495716086733</v>
      </c>
      <c r="M116" s="9">
        <v>1.4036853716579296</v>
      </c>
      <c r="N116" s="10">
        <v>0.8875854299005318</v>
      </c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B117" s="1"/>
      <c r="C117" s="27">
        <f t="shared" ref="C117:G117" si="73">rand()</f>
        <v>0.8511560223</v>
      </c>
      <c r="D117" s="28">
        <f t="shared" si="73"/>
        <v>0.9035704524</v>
      </c>
      <c r="E117" s="28">
        <f t="shared" si="73"/>
        <v>0.4207908106</v>
      </c>
      <c r="F117" s="28">
        <f t="shared" si="73"/>
        <v>0.8338423576</v>
      </c>
      <c r="G117" s="29">
        <f t="shared" si="73"/>
        <v>0.3101139151</v>
      </c>
      <c r="H117" s="14" t="s">
        <v>12</v>
      </c>
      <c r="I117" s="14" t="s">
        <v>12</v>
      </c>
      <c r="J117" s="8">
        <v>1.2842452281737375</v>
      </c>
      <c r="K117" s="9">
        <v>1.3650294510335859</v>
      </c>
      <c r="L117" s="9">
        <v>0.7322805403843935</v>
      </c>
      <c r="M117" s="9">
        <v>1.113816487494369</v>
      </c>
      <c r="N117" s="10">
        <v>0.6227479750350651</v>
      </c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B118" s="1"/>
      <c r="C118" s="27">
        <f t="shared" ref="C118:G118" si="74">rand()</f>
        <v>0.3874720038</v>
      </c>
      <c r="D118" s="28">
        <f t="shared" si="74"/>
        <v>0.8000340632</v>
      </c>
      <c r="E118" s="28">
        <f t="shared" si="74"/>
        <v>0.05199392691</v>
      </c>
      <c r="F118" s="28">
        <f t="shared" si="74"/>
        <v>0.1416705597</v>
      </c>
      <c r="G118" s="29">
        <f t="shared" si="74"/>
        <v>0.9004988359</v>
      </c>
      <c r="H118" s="2"/>
      <c r="I118" s="1"/>
      <c r="J118" s="8">
        <v>1.416436578529543</v>
      </c>
      <c r="K118" s="9">
        <v>1.8443562506294127</v>
      </c>
      <c r="L118" s="9">
        <v>1.1589352796267551</v>
      </c>
      <c r="M118" s="9">
        <v>1.4310828334327066</v>
      </c>
      <c r="N118" s="10">
        <v>0.5785501971334074</v>
      </c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B119" s="1"/>
      <c r="C119" s="31">
        <f t="shared" ref="C119:G119" si="75">rand()</f>
        <v>0.885541133</v>
      </c>
      <c r="D119" s="32">
        <f t="shared" si="75"/>
        <v>0.09152065893</v>
      </c>
      <c r="E119" s="32">
        <f t="shared" si="75"/>
        <v>0.3869264969</v>
      </c>
      <c r="F119" s="32">
        <f t="shared" si="75"/>
        <v>0.2513220872</v>
      </c>
      <c r="G119" s="33">
        <f t="shared" si="75"/>
        <v>0.2010972311</v>
      </c>
      <c r="H119" s="2"/>
      <c r="I119" s="1"/>
      <c r="J119" s="11">
        <v>1.2989964978819715</v>
      </c>
      <c r="K119" s="12">
        <v>1.876594541968523</v>
      </c>
      <c r="L119" s="12">
        <v>0.8325842653648227</v>
      </c>
      <c r="M119" s="12">
        <v>1.2920396234950051</v>
      </c>
      <c r="N119" s="13">
        <v>0.8683221695686196</v>
      </c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H120" s="2"/>
      <c r="I120" s="1"/>
      <c r="J120" s="2"/>
      <c r="K120" s="2"/>
      <c r="L120" s="14" t="s">
        <v>2</v>
      </c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H121" s="2"/>
      <c r="I121" s="4" t="s">
        <v>21</v>
      </c>
      <c r="J121" s="130">
        <v>0.5</v>
      </c>
      <c r="K121" s="2"/>
      <c r="L121" s="14" t="s">
        <v>2</v>
      </c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H122" s="2"/>
      <c r="I122" s="1"/>
      <c r="J122" s="14" t="s">
        <v>2</v>
      </c>
      <c r="K122" s="2"/>
      <c r="L122" s="14" t="s">
        <v>2</v>
      </c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H123" s="2"/>
      <c r="I123" s="4" t="s">
        <v>22</v>
      </c>
      <c r="J123" s="5">
        <f t="array" ref="J123:N127">J115:N119 * J121</f>
        <v>0.8100624979</v>
      </c>
      <c r="K123" s="6">
        <v>0.8834957798165147</v>
      </c>
      <c r="L123" s="131">
        <v>0.42121824614823705</v>
      </c>
      <c r="M123" s="6">
        <v>0.5122319000092146</v>
      </c>
      <c r="N123" s="7">
        <v>0.645067343686093</v>
      </c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H124" s="2"/>
      <c r="I124" s="4" t="s">
        <v>23</v>
      </c>
      <c r="J124" s="8">
        <v>0.974680380457854</v>
      </c>
      <c r="K124" s="9">
        <v>0.9077898046840351</v>
      </c>
      <c r="L124" s="132">
        <v>0.5985747858043367</v>
      </c>
      <c r="M124" s="9">
        <v>0.7018426858289648</v>
      </c>
      <c r="N124" s="10">
        <v>0.4437927149502659</v>
      </c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H125" s="2"/>
      <c r="I125" s="1"/>
      <c r="J125" s="8">
        <v>0.6421226140868688</v>
      </c>
      <c r="K125" s="9">
        <v>0.6825147255167929</v>
      </c>
      <c r="L125" s="132">
        <v>0.36614027019219675</v>
      </c>
      <c r="M125" s="9">
        <v>0.5569082437471845</v>
      </c>
      <c r="N125" s="10">
        <v>0.31137398751753254</v>
      </c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H126" s="2"/>
      <c r="I126" s="1"/>
      <c r="J126" s="8">
        <v>0.7082182892647715</v>
      </c>
      <c r="K126" s="9">
        <v>0.9221781253147063</v>
      </c>
      <c r="L126" s="132">
        <v>0.5794676398133776</v>
      </c>
      <c r="M126" s="9">
        <v>0.7155414167163533</v>
      </c>
      <c r="N126" s="10">
        <v>0.2892750985667037</v>
      </c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H127" s="2"/>
      <c r="I127" s="1"/>
      <c r="J127" s="11">
        <v>0.6494982489409857</v>
      </c>
      <c r="K127" s="12">
        <v>0.9382972709842615</v>
      </c>
      <c r="L127" s="133">
        <v>0.41629213268241133</v>
      </c>
      <c r="M127" s="12">
        <v>0.6460198117475026</v>
      </c>
      <c r="N127" s="13">
        <v>0.4341610847843098</v>
      </c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H128" s="2"/>
      <c r="I128" s="1"/>
      <c r="J128" s="2"/>
      <c r="K128" s="2"/>
      <c r="L128" s="14" t="s">
        <v>2</v>
      </c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H129" s="2"/>
      <c r="I129" s="4" t="s">
        <v>13</v>
      </c>
      <c r="J129" s="5">
        <f t="array" ref="J129:N133">J123:N127+J109:N113</f>
        <v>1.199220405</v>
      </c>
      <c r="K129" s="6">
        <v>1.345440194444782</v>
      </c>
      <c r="L129" s="6">
        <v>0.7765844018601489</v>
      </c>
      <c r="M129" s="6">
        <v>1.5046640546366712</v>
      </c>
      <c r="N129" s="7">
        <v>1.5680418897062016</v>
      </c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H130" s="2"/>
      <c r="I130" s="1"/>
      <c r="J130" s="8">
        <v>1.7593981209465235</v>
      </c>
      <c r="K130" s="9">
        <v>1.1039495803904997</v>
      </c>
      <c r="L130" s="9">
        <v>1.5788619802972441</v>
      </c>
      <c r="M130" s="9">
        <v>1.0311718775790335</v>
      </c>
      <c r="N130" s="10">
        <v>1.4368241492927707</v>
      </c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H131" s="2"/>
      <c r="I131" s="1"/>
      <c r="J131" s="8">
        <v>0.7650583519080678</v>
      </c>
      <c r="K131" s="9">
        <v>1.3277739121014585</v>
      </c>
      <c r="L131" s="9">
        <v>0.9989990283703775</v>
      </c>
      <c r="M131" s="9">
        <v>0.7717163221196</v>
      </c>
      <c r="N131" s="10">
        <v>0.9218272725494473</v>
      </c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H132" s="2"/>
      <c r="I132" s="1"/>
      <c r="J132" s="8">
        <v>1.606121112958495</v>
      </c>
      <c r="K132" s="9">
        <v>1.8605048877132035</v>
      </c>
      <c r="L132" s="9">
        <v>1.172298132191501</v>
      </c>
      <c r="M132" s="9">
        <v>0.7539440358478768</v>
      </c>
      <c r="N132" s="10">
        <v>1.025073725066915</v>
      </c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H133" s="2"/>
      <c r="I133" s="1"/>
      <c r="J133" s="11">
        <v>1.1237740129350948</v>
      </c>
      <c r="K133" s="12">
        <v>1.4505577250739707</v>
      </c>
      <c r="L133" s="12">
        <v>1.3316789577812191</v>
      </c>
      <c r="M133" s="12">
        <v>1.1159164169564115</v>
      </c>
      <c r="N133" s="13">
        <v>0.6660377742767363</v>
      </c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B135" s="1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B136" s="1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B137" s="1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B138" s="1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B139" s="1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B140" s="1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B141" s="1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B142" s="1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B143" s="1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B144" s="1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B145" s="1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B146" s="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B147" s="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B148" s="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B149" s="1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B150" s="1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B151" s="1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B152" s="1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B153" s="1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B154" s="1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B155" s="1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B156" s="1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B157" s="1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B158" s="1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B159" s="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B160" s="1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B161" s="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B162" s="1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B165" s="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B166" s="1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B167" s="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B168" s="1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B169" s="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B170" s="1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B171" s="1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B172" s="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B173" s="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B174" s="1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B175" s="1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B176" s="1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B178" s="1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B179" s="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B180" s="1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B181" s="1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B182" s="1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B183" s="1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B184" s="1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B185" s="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B186" s="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B188" s="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B189" s="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B190" s="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B191" s="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B192" s="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B193" s="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B194" s="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B195" s="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B196" s="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B197" s="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B198" s="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B199" s="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B201" s="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B202" s="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B203" s="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B204" s="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B205" s="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B208" s="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B210" s="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B211" s="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B212" s="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B213" s="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B214" s="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B215" s="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B216" s="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B217" s="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B218" s="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B220" s="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B222" s="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B223" s="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B260" s="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B262" s="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B263" s="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B264" s="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B265" s="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B266" s="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B268" s="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B269" s="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B270" s="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B275" s="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B276" s="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B278" s="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B279" s="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B280" s="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B281" s="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B282" s="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B283" s="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B284" s="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B289" s="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B291" s="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B294" s="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B296" s="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B297" s="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B298" s="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B299" s="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B300" s="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B301" s="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B302" s="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B303" s="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B304" s="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B305" s="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B306" s="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B307" s="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B308" s="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B309" s="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B311" s="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B312" s="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B313" s="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B314" s="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B315" s="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B316" s="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B317" s="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B318" s="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B319" s="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B320" s="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B322" s="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B323" s="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B324" s="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B325" s="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B326" s="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B328" s="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B329" s="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B330" s="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B331" s="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B332" s="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B333" s="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B334" s="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B344" s="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B349" s="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B350" s="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B351" s="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B352" s="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B353" s="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B354" s="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B356" s="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B358" s="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B360" s="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B361" s="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B362" s="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B363" s="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B364" s="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B365" s="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B366" s="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B367" s="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B368" s="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B369" s="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B370" s="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B371" s="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B373" s="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B374" s="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B375" s="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B376" s="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B377" s="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B378" s="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B379" s="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B380" s="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B381" s="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B382" s="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B383" s="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B384" s="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B385" s="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B386" s="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B387" s="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B388" s="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B389" s="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B981" s="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B982" s="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B983" s="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B984" s="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B985" s="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B986" s="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</sheetData>
  <mergeCells count="6">
    <mergeCell ref="A2:Z2"/>
    <mergeCell ref="A16:Z16"/>
    <mergeCell ref="A31:Z31"/>
    <mergeCell ref="A52:Z52"/>
    <mergeCell ref="A85:Z85"/>
    <mergeCell ref="A106:Z106"/>
  </mergeCells>
  <conditionalFormatting sqref="C4:G8 C10:G14 J10:O14 C18:G22 P21:P25 C24:G28 J24:N28 I34:N38 C40:G44 J40:O44 I46:N50 H53:I56 J53:L59 M55:N59 C61:G65 J61:N65 C67:G71 J67:N71 I87:N92 C94:G98 I94:I95 J94:N98 I97:I98 J100:S104 J109:N113 C115:G119 J115:N119 J123:N127 J129:N133">
    <cfRule type="colorScale" priority="1">
      <colorScale>
        <cfvo type="min"/>
        <cfvo type="max"/>
        <color rgb="FFFFFFFF"/>
        <color rgb="FFFFD666"/>
      </colorScale>
    </cfRule>
  </conditionalFormatting>
  <conditionalFormatting sqref="J73:N77">
    <cfRule type="colorScale" priority="2">
      <colorScale>
        <cfvo type="min"/>
        <cfvo type="max"/>
        <color rgb="FFFFFFFF"/>
        <color rgb="FFFFD666"/>
      </colorScale>
    </cfRule>
  </conditionalFormatting>
  <conditionalFormatting sqref="J79:N83">
    <cfRule type="colorScale" priority="3">
      <colorScale>
        <cfvo type="min"/>
        <cfvo type="max"/>
        <color rgb="FFFFFFFF"/>
        <color rgb="FFFFD666"/>
      </colorScale>
    </cfRule>
  </conditionalFormatting>
  <drawing r:id="rId1"/>
</worksheet>
</file>